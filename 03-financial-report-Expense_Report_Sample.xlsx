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Codex-Utopia\PROJECTS\competition-operations\WORK\CURRENT\portfolio-quality-20261019\documents\out\"/>
    </mc:Choice>
  </mc:AlternateContent>
  <xr:revisionPtr revIDLastSave="0" documentId="13_ncr:1_{B9715AF3-AD78-43BE-BD39-8C0BF796C2B9}" xr6:coauthVersionLast="47" xr6:coauthVersionMax="47" xr10:uidLastSave="{00000000-0000-0000-0000-000000000000}"/>
  <bookViews>
    <workbookView xWindow="300" yWindow="345" windowWidth="28140" windowHeight="14835" xr2:uid="{00000000-000D-0000-FFFF-FFFF00000000}"/>
  </bookViews>
  <sheets>
    <sheet name="Summary" sheetId="1" r:id="rId1"/>
    <sheet name="Monthly" sheetId="2" r:id="rId2"/>
    <sheet name="Transactions" sheetId="3" r:id="rId3"/>
    <sheet name="Budgets" sheetId="4" r:id="rId4"/>
    <sheet name="Lists" sheetId="5" r:id="rId5"/>
  </sheets>
  <definedNames>
    <definedName name="_xlnm._FilterDatabase" localSheetId="1" hidden="1">Monthly!$A$1:$I$49</definedName>
    <definedName name="_xlnm.Print_Titles" localSheetId="3">Budgets!$1:$1</definedName>
    <definedName name="_xlnm.Print_Titles" localSheetId="1">Monthly!$1:$1</definedName>
    <definedName name="_xlnm.Print_Titles" localSheetId="2">Transactions!$1:$1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9" i="2" l="1"/>
  <c r="A49" i="2"/>
  <c r="I49" i="2" s="1"/>
  <c r="B48" i="2"/>
  <c r="A48" i="2"/>
  <c r="I48" i="2" s="1"/>
  <c r="B47" i="2"/>
  <c r="A47" i="2"/>
  <c r="I47" i="2" s="1"/>
  <c r="B46" i="2"/>
  <c r="A46" i="2"/>
  <c r="H46" i="2" s="1"/>
  <c r="B45" i="2"/>
  <c r="A45" i="2"/>
  <c r="H45" i="2" s="1"/>
  <c r="B44" i="2"/>
  <c r="A44" i="2"/>
  <c r="I44" i="2" s="1"/>
  <c r="I43" i="2"/>
  <c r="H43" i="2"/>
  <c r="C43" i="2"/>
  <c r="B43" i="2"/>
  <c r="A43" i="2"/>
  <c r="G43" i="2" s="1"/>
  <c r="B42" i="2"/>
  <c r="A42" i="2"/>
  <c r="G42" i="2" s="1"/>
  <c r="B41" i="2"/>
  <c r="A41" i="2"/>
  <c r="I41" i="2" s="1"/>
  <c r="G40" i="2"/>
  <c r="B40" i="2"/>
  <c r="A40" i="2"/>
  <c r="I40" i="2" s="1"/>
  <c r="B39" i="2"/>
  <c r="A39" i="2"/>
  <c r="H39" i="2" s="1"/>
  <c r="B38" i="2"/>
  <c r="A38" i="2"/>
  <c r="I38" i="2" s="1"/>
  <c r="B37" i="2"/>
  <c r="A37" i="2"/>
  <c r="E37" i="2" s="1"/>
  <c r="B36" i="2"/>
  <c r="A36" i="2"/>
  <c r="E36" i="2" s="1"/>
  <c r="B35" i="2"/>
  <c r="A35" i="2"/>
  <c r="I35" i="2" s="1"/>
  <c r="I34" i="2"/>
  <c r="H34" i="2"/>
  <c r="G34" i="2"/>
  <c r="E34" i="2"/>
  <c r="B34" i="2"/>
  <c r="A34" i="2"/>
  <c r="D34" i="2" s="1"/>
  <c r="F34" i="2" s="1"/>
  <c r="B33" i="2"/>
  <c r="A33" i="2"/>
  <c r="E33" i="2" s="1"/>
  <c r="B32" i="2"/>
  <c r="A32" i="2"/>
  <c r="I32" i="2" s="1"/>
  <c r="B31" i="2"/>
  <c r="A31" i="2"/>
  <c r="C31" i="2" s="1"/>
  <c r="B30" i="2"/>
  <c r="A30" i="2"/>
  <c r="E30" i="2" s="1"/>
  <c r="B29" i="2"/>
  <c r="A29" i="2"/>
  <c r="E29" i="2" s="1"/>
  <c r="I28" i="2"/>
  <c r="H28" i="2"/>
  <c r="G28" i="2"/>
  <c r="E28" i="2"/>
  <c r="D28" i="2"/>
  <c r="F28" i="2" s="1"/>
  <c r="C28" i="2"/>
  <c r="B28" i="2"/>
  <c r="A28" i="2"/>
  <c r="B27" i="2"/>
  <c r="A27" i="2"/>
  <c r="I27" i="2" s="1"/>
  <c r="B26" i="2"/>
  <c r="A26" i="2"/>
  <c r="D26" i="2" s="1"/>
  <c r="F26" i="2" s="1"/>
  <c r="B25" i="2"/>
  <c r="A25" i="2"/>
  <c r="D25" i="2" s="1"/>
  <c r="B24" i="2"/>
  <c r="A24" i="2"/>
  <c r="I24" i="2" s="1"/>
  <c r="B23" i="2"/>
  <c r="A23" i="2"/>
  <c r="C23" i="2" s="1"/>
  <c r="B22" i="2"/>
  <c r="A22" i="2"/>
  <c r="I22" i="2" s="1"/>
  <c r="B21" i="2"/>
  <c r="A21" i="2"/>
  <c r="I21" i="2" s="1"/>
  <c r="I20" i="2"/>
  <c r="G20" i="2"/>
  <c r="D20" i="2"/>
  <c r="E20" i="2" s="1"/>
  <c r="C20" i="2"/>
  <c r="B20" i="2"/>
  <c r="A20" i="2"/>
  <c r="B19" i="2"/>
  <c r="A19" i="2"/>
  <c r="I19" i="2" s="1"/>
  <c r="B18" i="2"/>
  <c r="A18" i="2"/>
  <c r="I18" i="2" s="1"/>
  <c r="B17" i="2"/>
  <c r="A17" i="2"/>
  <c r="D17" i="2" s="1"/>
  <c r="B16" i="2"/>
  <c r="A16" i="2"/>
  <c r="I16" i="2" s="1"/>
  <c r="B15" i="2"/>
  <c r="A15" i="2"/>
  <c r="G15" i="2" s="1"/>
  <c r="B14" i="2"/>
  <c r="A14" i="2"/>
  <c r="I14" i="2" s="1"/>
  <c r="B13" i="2"/>
  <c r="A13" i="2"/>
  <c r="I13" i="2" s="1"/>
  <c r="B12" i="2"/>
  <c r="A12" i="2"/>
  <c r="I12" i="2" s="1"/>
  <c r="B11" i="2"/>
  <c r="A11" i="2"/>
  <c r="B10" i="2"/>
  <c r="A10" i="2"/>
  <c r="I10" i="2" s="1"/>
  <c r="B9" i="2"/>
  <c r="A9" i="2"/>
  <c r="I9" i="2" s="1"/>
  <c r="B8" i="2"/>
  <c r="A8" i="2"/>
  <c r="I8" i="2" s="1"/>
  <c r="B7" i="2"/>
  <c r="A7" i="2"/>
  <c r="I7" i="2" s="1"/>
  <c r="B6" i="2"/>
  <c r="A6" i="2"/>
  <c r="D6" i="2" s="1"/>
  <c r="B5" i="2"/>
  <c r="A5" i="2"/>
  <c r="D5" i="2" s="1"/>
  <c r="B4" i="2"/>
  <c r="A4" i="2"/>
  <c r="I4" i="2" s="1"/>
  <c r="B3" i="2"/>
  <c r="A3" i="2"/>
  <c r="D3" i="2" s="1"/>
  <c r="B2" i="2"/>
  <c r="A2" i="2"/>
  <c r="G2" i="2" s="1"/>
  <c r="A27" i="1"/>
  <c r="B27" i="1" s="1"/>
  <c r="A26" i="1"/>
  <c r="C26" i="1" s="1"/>
  <c r="A25" i="1"/>
  <c r="C25" i="1" s="1"/>
  <c r="A24" i="1"/>
  <c r="C24" i="1" s="1"/>
  <c r="A15" i="1"/>
  <c r="C15" i="1" s="1"/>
  <c r="C14" i="1"/>
  <c r="B14" i="1"/>
  <c r="B7" i="1"/>
  <c r="B6" i="1"/>
  <c r="B5" i="1"/>
  <c r="B4" i="1"/>
  <c r="B10" i="1" s="1"/>
  <c r="I29" i="2" l="1"/>
  <c r="I45" i="2"/>
  <c r="C15" i="2"/>
  <c r="H15" i="2" s="1"/>
  <c r="D31" i="2"/>
  <c r="F31" i="2" s="1"/>
  <c r="I46" i="2"/>
  <c r="G12" i="2"/>
  <c r="C45" i="2"/>
  <c r="I3" i="2"/>
  <c r="I37" i="2"/>
  <c r="G4" i="2"/>
  <c r="I25" i="2"/>
  <c r="E31" i="2"/>
  <c r="G31" i="2"/>
  <c r="G6" i="2"/>
  <c r="H31" i="2"/>
  <c r="I15" i="2"/>
  <c r="G17" i="2"/>
  <c r="I31" i="2"/>
  <c r="E26" i="2"/>
  <c r="H40" i="2"/>
  <c r="C48" i="2"/>
  <c r="G26" i="2"/>
  <c r="D48" i="2"/>
  <c r="F48" i="2" s="1"/>
  <c r="G37" i="2"/>
  <c r="H37" i="2"/>
  <c r="I23" i="2"/>
  <c r="I6" i="2"/>
  <c r="G32" i="2"/>
  <c r="E48" i="2"/>
  <c r="H20" i="2"/>
  <c r="C3" i="2"/>
  <c r="H3" i="2" s="1"/>
  <c r="G3" i="2"/>
  <c r="H29" i="2"/>
  <c r="D23" i="2"/>
  <c r="H26" i="2"/>
  <c r="B9" i="1"/>
  <c r="I26" i="2"/>
  <c r="H32" i="2"/>
  <c r="G48" i="2"/>
  <c r="G29" i="2"/>
  <c r="E45" i="2"/>
  <c r="H48" i="2"/>
  <c r="D45" i="2"/>
  <c r="F45" i="2" s="1"/>
  <c r="E14" i="1"/>
  <c r="G45" i="2"/>
  <c r="G23" i="2"/>
  <c r="H23" i="2" s="1"/>
  <c r="G9" i="2"/>
  <c r="F25" i="2"/>
  <c r="E26" i="1"/>
  <c r="D26" i="1"/>
  <c r="F23" i="2"/>
  <c r="D24" i="1"/>
  <c r="C13" i="2"/>
  <c r="G25" i="2"/>
  <c r="C41" i="2"/>
  <c r="D44" i="2"/>
  <c r="F44" i="2" s="1"/>
  <c r="C27" i="1"/>
  <c r="D13" i="2"/>
  <c r="F13" i="2" s="1"/>
  <c r="C25" i="2"/>
  <c r="E25" i="2" s="1"/>
  <c r="C22" i="2"/>
  <c r="C19" i="2"/>
  <c r="H19" i="2" s="1"/>
  <c r="D22" i="2"/>
  <c r="C47" i="2"/>
  <c r="F22" i="2"/>
  <c r="E44" i="2"/>
  <c r="B26" i="1"/>
  <c r="E3" i="2"/>
  <c r="C16" i="2"/>
  <c r="D19" i="2"/>
  <c r="F19" i="2" s="1"/>
  <c r="E22" i="2"/>
  <c r="C44" i="2"/>
  <c r="D47" i="2"/>
  <c r="F47" i="2" s="1"/>
  <c r="D16" i="2"/>
  <c r="F16" i="2" s="1"/>
  <c r="E47" i="2"/>
  <c r="C10" i="2"/>
  <c r="G22" i="2"/>
  <c r="C38" i="2"/>
  <c r="D41" i="2"/>
  <c r="F41" i="2" s="1"/>
  <c r="C7" i="2"/>
  <c r="D10" i="2"/>
  <c r="G19" i="2"/>
  <c r="C35" i="2"/>
  <c r="D38" i="2"/>
  <c r="F38" i="2" s="1"/>
  <c r="E41" i="2"/>
  <c r="G47" i="2"/>
  <c r="C4" i="2"/>
  <c r="D7" i="2"/>
  <c r="F7" i="2" s="1"/>
  <c r="G16" i="2"/>
  <c r="C32" i="2"/>
  <c r="D35" i="2"/>
  <c r="F35" i="2" s="1"/>
  <c r="E38" i="2"/>
  <c r="G44" i="2"/>
  <c r="H47" i="2"/>
  <c r="B8" i="1"/>
  <c r="D4" i="2"/>
  <c r="E4" i="2" s="1"/>
  <c r="G13" i="2"/>
  <c r="C29" i="2"/>
  <c r="D32" i="2"/>
  <c r="F32" i="2" s="1"/>
  <c r="E35" i="2"/>
  <c r="G41" i="2"/>
  <c r="H44" i="2"/>
  <c r="G10" i="2"/>
  <c r="C26" i="2"/>
  <c r="D29" i="2"/>
  <c r="F29" i="2" s="1"/>
  <c r="E32" i="2"/>
  <c r="G38" i="2"/>
  <c r="H41" i="2"/>
  <c r="G7" i="2"/>
  <c r="G35" i="2"/>
  <c r="H38" i="2"/>
  <c r="H35" i="2"/>
  <c r="C17" i="2"/>
  <c r="E23" i="2"/>
  <c r="D14" i="1"/>
  <c r="C14" i="2"/>
  <c r="H14" i="2" s="1"/>
  <c r="C42" i="2"/>
  <c r="C11" i="2"/>
  <c r="D14" i="2"/>
  <c r="F20" i="2"/>
  <c r="D11" i="2"/>
  <c r="C5" i="2"/>
  <c r="F5" i="2" s="1"/>
  <c r="D8" i="2"/>
  <c r="I42" i="2"/>
  <c r="A16" i="1"/>
  <c r="G5" i="2"/>
  <c r="H5" i="2" s="1"/>
  <c r="I11" i="2"/>
  <c r="C21" i="2"/>
  <c r="H21" i="2" s="1"/>
  <c r="D24" i="2"/>
  <c r="E24" i="2" s="1"/>
  <c r="E27" i="2"/>
  <c r="G33" i="2"/>
  <c r="H36" i="2"/>
  <c r="I39" i="2"/>
  <c r="C49" i="2"/>
  <c r="C39" i="2"/>
  <c r="D42" i="2"/>
  <c r="F42" i="2" s="1"/>
  <c r="C8" i="2"/>
  <c r="E42" i="2"/>
  <c r="B15" i="1"/>
  <c r="E39" i="2"/>
  <c r="C33" i="2"/>
  <c r="D36" i="2"/>
  <c r="B24" i="1"/>
  <c r="E24" i="1" s="1"/>
  <c r="C2" i="2"/>
  <c r="G14" i="2"/>
  <c r="I17" i="2"/>
  <c r="H42" i="2"/>
  <c r="C18" i="2"/>
  <c r="F18" i="2" s="1"/>
  <c r="G30" i="2"/>
  <c r="H33" i="2"/>
  <c r="I36" i="2"/>
  <c r="C46" i="2"/>
  <c r="D49" i="2"/>
  <c r="F49" i="2" s="1"/>
  <c r="B25" i="1"/>
  <c r="E25" i="1" s="1"/>
  <c r="H2" i="2"/>
  <c r="I5" i="2"/>
  <c r="H30" i="2"/>
  <c r="D46" i="2"/>
  <c r="F46" i="2" s="1"/>
  <c r="I2" i="2"/>
  <c r="C12" i="2"/>
  <c r="D15" i="2"/>
  <c r="G24" i="2"/>
  <c r="H27" i="2"/>
  <c r="I30" i="2"/>
  <c r="C40" i="2"/>
  <c r="D43" i="2"/>
  <c r="E46" i="2"/>
  <c r="C30" i="2"/>
  <c r="D33" i="2"/>
  <c r="D2" i="2"/>
  <c r="G11" i="2"/>
  <c r="C27" i="2"/>
  <c r="D30" i="2"/>
  <c r="F30" i="2" s="1"/>
  <c r="F36" i="2"/>
  <c r="G39" i="2"/>
  <c r="G8" i="2"/>
  <c r="C24" i="2"/>
  <c r="H24" i="2" s="1"/>
  <c r="D27" i="2"/>
  <c r="F33" i="2"/>
  <c r="G36" i="2"/>
  <c r="D21" i="2"/>
  <c r="F21" i="2" s="1"/>
  <c r="F27" i="2"/>
  <c r="D18" i="2"/>
  <c r="E18" i="2" s="1"/>
  <c r="G27" i="2"/>
  <c r="I33" i="2"/>
  <c r="E49" i="2"/>
  <c r="C9" i="2"/>
  <c r="D12" i="2"/>
  <c r="G21" i="2"/>
  <c r="C37" i="2"/>
  <c r="D40" i="2"/>
  <c r="F40" i="2" s="1"/>
  <c r="E43" i="2"/>
  <c r="G49" i="2"/>
  <c r="C36" i="2"/>
  <c r="D39" i="2"/>
  <c r="F39" i="2" s="1"/>
  <c r="C6" i="2"/>
  <c r="H6" i="2" s="1"/>
  <c r="D9" i="2"/>
  <c r="F9" i="2" s="1"/>
  <c r="G18" i="2"/>
  <c r="C34" i="2"/>
  <c r="D37" i="2"/>
  <c r="F37" i="2" s="1"/>
  <c r="E40" i="2"/>
  <c r="F43" i="2"/>
  <c r="G46" i="2"/>
  <c r="H49" i="2"/>
  <c r="D25" i="1" l="1"/>
  <c r="E14" i="2"/>
  <c r="E16" i="2"/>
  <c r="F2" i="2"/>
  <c r="H22" i="2"/>
  <c r="F4" i="2"/>
  <c r="E11" i="2"/>
  <c r="E5" i="2"/>
  <c r="H17" i="2"/>
  <c r="H4" i="2"/>
  <c r="H8" i="2"/>
  <c r="H9" i="2"/>
  <c r="E15" i="2"/>
  <c r="E10" i="2"/>
  <c r="E19" i="2"/>
  <c r="H10" i="2"/>
  <c r="H16" i="2"/>
  <c r="H12" i="2"/>
  <c r="H7" i="2"/>
  <c r="H13" i="2"/>
  <c r="F3" i="2"/>
  <c r="E27" i="1"/>
  <c r="D27" i="1"/>
  <c r="F15" i="2"/>
  <c r="H11" i="2"/>
  <c r="E7" i="2"/>
  <c r="E12" i="2"/>
  <c r="E21" i="2"/>
  <c r="E2" i="2"/>
  <c r="F10" i="2"/>
  <c r="C28" i="1"/>
  <c r="D15" i="1"/>
  <c r="E15" i="1"/>
  <c r="A17" i="1"/>
  <c r="B16" i="1"/>
  <c r="C16" i="1"/>
  <c r="E9" i="2"/>
  <c r="F11" i="2"/>
  <c r="F14" i="2"/>
  <c r="H18" i="2"/>
  <c r="E13" i="2"/>
  <c r="F8" i="2"/>
  <c r="E8" i="2"/>
  <c r="F24" i="2"/>
  <c r="H25" i="2"/>
  <c r="F6" i="2"/>
  <c r="F12" i="2"/>
  <c r="E17" i="2"/>
  <c r="E6" i="2"/>
  <c r="B28" i="1"/>
  <c r="B32" i="1" s="1"/>
  <c r="F17" i="2"/>
  <c r="E16" i="1" l="1"/>
  <c r="D16" i="1"/>
  <c r="A18" i="1"/>
  <c r="B17" i="1"/>
  <c r="C17" i="1"/>
  <c r="E28" i="1"/>
  <c r="D28" i="1"/>
  <c r="E17" i="1" l="1"/>
  <c r="D17" i="1"/>
  <c r="A19" i="1"/>
  <c r="B18" i="1"/>
  <c r="C18" i="1"/>
  <c r="E18" i="1" l="1"/>
  <c r="D18" i="1"/>
  <c r="C19" i="1"/>
  <c r="B19" i="1"/>
  <c r="B20" i="1" s="1"/>
  <c r="B31" i="1" s="1"/>
  <c r="E19" i="1" l="1"/>
  <c r="D19" i="1"/>
  <c r="C20" i="1"/>
  <c r="E20" i="1" l="1"/>
  <c r="D20" i="1"/>
  <c r="B33" i="1"/>
</calcChain>
</file>

<file path=xl/sharedStrings.xml><?xml version="1.0" encoding="utf-8"?>
<sst xmlns="http://schemas.openxmlformats.org/spreadsheetml/2006/main" count="250" uniqueCount="108">
  <si>
    <t>Linden Studio operating expenses</t>
  </si>
  <si>
    <t>January to June 2026, US dollars. Linden Studio is a fictional company and all figures are illustrative.</t>
  </si>
  <si>
    <t>Reporting months</t>
  </si>
  <si>
    <t>Transactions</t>
  </si>
  <si>
    <t>Actual spend</t>
  </si>
  <si>
    <t>Budget</t>
  </si>
  <si>
    <t>Under or over budget</t>
  </si>
  <si>
    <t>Budget used</t>
  </si>
  <si>
    <t>Average spend per month</t>
  </si>
  <si>
    <t>By month</t>
  </si>
  <si>
    <t>Actual and budget by month, USD</t>
  </si>
  <si>
    <t>Month</t>
  </si>
  <si>
    <t>Actual (USD)</t>
  </si>
  <si>
    <t>Budget (USD)</t>
  </si>
  <si>
    <t>Under or over</t>
  </si>
  <si>
    <t>Total</t>
  </si>
  <si>
    <t>By category</t>
  </si>
  <si>
    <t>Category</t>
  </si>
  <si>
    <t>Checks</t>
  </si>
  <si>
    <t>Months add up to actual spend</t>
  </si>
  <si>
    <t>Categories add up to actual spend</t>
  </si>
  <si>
    <t>Budgets add up by month and category</t>
  </si>
  <si>
    <t>How to use this workbook</t>
  </si>
  <si>
    <t>Add spending as new rows at the bottom of Transactions. Positive amounts are spend and negative amounts are refunds.</t>
  </si>
  <si>
    <t>Add or change budgets on the Budgets sheet, one row per month and category. Monthly mirrors those rows.</t>
  </si>
  <si>
    <t>Blue text marks values you type. Black text is calculated. Every total updates on its own.</t>
  </si>
  <si>
    <t>To report a different period, change the first month in the By month table.</t>
  </si>
  <si>
    <t>Prior month actual</t>
  </si>
  <si>
    <t>Change on prior month</t>
  </si>
  <si>
    <t>Under or over is budget less actual: positive is under budget, brackets are over. The first month has no prior month in this data.</t>
  </si>
  <si>
    <t>Transaction ID</t>
  </si>
  <si>
    <t>Date</t>
  </si>
  <si>
    <t>Supplier</t>
  </si>
  <si>
    <t>Description</t>
  </si>
  <si>
    <t>Amount (USD)</t>
  </si>
  <si>
    <t>TX-001</t>
  </si>
  <si>
    <t>Facilities</t>
  </si>
  <si>
    <t>Harbour Lane Properties</t>
  </si>
  <si>
    <t>Office rent</t>
  </si>
  <si>
    <t>TX-002</t>
  </si>
  <si>
    <t>Software</t>
  </si>
  <si>
    <t>Ledgerly</t>
  </si>
  <si>
    <t>Accounting subscription</t>
  </si>
  <si>
    <t>TX-003</t>
  </si>
  <si>
    <t>Stowbox</t>
  </si>
  <si>
    <t>Cloud backup</t>
  </si>
  <si>
    <t>TX-004</t>
  </si>
  <si>
    <t>Travel</t>
  </si>
  <si>
    <t>Railway ticket office</t>
  </si>
  <si>
    <t>Client visit, Leeds</t>
  </si>
  <si>
    <t>TX-005</t>
  </si>
  <si>
    <t>Northgrid Energy</t>
  </si>
  <si>
    <t>Electricity and water</t>
  </si>
  <si>
    <t>TX-006</t>
  </si>
  <si>
    <t>Equipment</t>
  </si>
  <si>
    <t>Deskline</t>
  </si>
  <si>
    <t>27-inch monitor</t>
  </si>
  <si>
    <t>TX-007</t>
  </si>
  <si>
    <t>TX-008</t>
  </si>
  <si>
    <t>TX-009</t>
  </si>
  <si>
    <t>Canvasworks</t>
  </si>
  <si>
    <t>Design tools</t>
  </si>
  <si>
    <t>TX-010</t>
  </si>
  <si>
    <t>Client visit, York</t>
  </si>
  <si>
    <t>TX-011</t>
  </si>
  <si>
    <t>TX-012</t>
  </si>
  <si>
    <t>Ticket refund, York</t>
  </si>
  <si>
    <t>TX-013</t>
  </si>
  <si>
    <t>TX-014</t>
  </si>
  <si>
    <t>TX-015</t>
  </si>
  <si>
    <t>TX-016</t>
  </si>
  <si>
    <t>Cables and adapters</t>
  </si>
  <si>
    <t>TX-017</t>
  </si>
  <si>
    <t>TX-018</t>
  </si>
  <si>
    <t>City Cabs</t>
  </si>
  <si>
    <t>Client visit, local</t>
  </si>
  <si>
    <t>TX-019</t>
  </si>
  <si>
    <t>TX-020</t>
  </si>
  <si>
    <t>TX-021</t>
  </si>
  <si>
    <t>TX-022</t>
  </si>
  <si>
    <t>Client workshop, Bristol</t>
  </si>
  <si>
    <t>TX-023</t>
  </si>
  <si>
    <t>TX-024</t>
  </si>
  <si>
    <t>TX-025</t>
  </si>
  <si>
    <t>TX-026</t>
  </si>
  <si>
    <t>TX-027</t>
  </si>
  <si>
    <t>TX-028</t>
  </si>
  <si>
    <t>TX-029</t>
  </si>
  <si>
    <t>Station transfer</t>
  </si>
  <si>
    <t>TX-030</t>
  </si>
  <si>
    <t>TX-031</t>
  </si>
  <si>
    <t>TX-032</t>
  </si>
  <si>
    <t>Laptop stand</t>
  </si>
  <si>
    <t>TX-033</t>
  </si>
  <si>
    <t>Keyboard</t>
  </si>
  <si>
    <t>TX-034</t>
  </si>
  <si>
    <t>TX-035</t>
  </si>
  <si>
    <t>TX-036</t>
  </si>
  <si>
    <t>Return, keyboard</t>
  </si>
  <si>
    <t>TX-037</t>
  </si>
  <si>
    <t>TX-038</t>
  </si>
  <si>
    <t>TX-039</t>
  </si>
  <si>
    <t>TX-040</t>
  </si>
  <si>
    <t>Westway Hotels</t>
  </si>
  <si>
    <t>Trade fair, two nights</t>
  </si>
  <si>
    <t>TX-041</t>
  </si>
  <si>
    <t>TX-042</t>
  </si>
  <si>
    <t>Categories used by the drop-downs on Transactions and Budgets. Add a new category here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</si>
</sst>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;\(#,##0.00\);&quot;-&quot;"/>
    <numFmt numFmtId="166" formatCode="mmm\ yyyy"/>
    <numFmt numFmtId="167" formatCode="0.0%;\(0.0%\);&quot;-&quot;"/>
  </numFmts>
  <fonts count="8" x14ac:knownFonts="1">
    <font>
      <sz val="11"/>
      <color theme="1"/>
      <name val="Calibri"/>
      <family val="2"/>
      <scheme val="minor"/>
    </font>
    <font>
      <b/>
      <sz val="10"/>
      <color rgb="FF13201B"/>
      <name val="Arial"/>
    </font>
    <font>
      <sz val="10"/>
      <color rgb="FF0000FF"/>
      <name val="Arial"/>
    </font>
    <font>
      <sz val="9"/>
      <color rgb="FF5D6F66"/>
      <name val="Arial"/>
    </font>
    <font>
      <b/>
      <sz val="10"/>
      <color rgb="FFFFFFFF"/>
      <name val="Arial"/>
    </font>
    <font>
      <sz val="10"/>
      <color rgb="FF13201B"/>
      <name val="Arial"/>
    </font>
    <font>
      <b/>
      <sz val="16"/>
      <color rgb="FF13201B"/>
      <name val="Arial"/>
    </font>
    <font>
      <b/>
      <sz val="12"/>
      <color rgb="FF13201B"/>
      <name val="Arial"/>
    </font>
  </fonts>
  <fills count="4">
    <fill>
      <patternFill patternType="none"/>
    </fill>
    <fill>
      <patternFill patternType="gray125"/>
    </fill>
    <fill>
      <patternFill patternType="solid">
        <fgColor rgb="FF0E3B2B"/>
      </patternFill>
    </fill>
    <fill>
      <patternFill patternType="solid">
        <fgColor rgb="FFEAF1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FE3DC"/>
      </bottom>
      <diagonal/>
    </border>
    <border>
      <left/>
      <right/>
      <top style="medium">
        <color rgb="FF13201B"/>
      </top>
      <bottom style="thin">
        <color rgb="FFDFE3DC"/>
      </bottom>
      <diagonal/>
    </border>
    <border>
      <left/>
      <right/>
      <top style="medium">
        <color rgb="FF13201B"/>
      </top>
      <bottom style="medium">
        <color rgb="FF13201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0" borderId="0" xfId="0" applyFont="1"/>
    <xf numFmtId="0" fontId="3" fillId="0" borderId="0" xfId="0" applyFont="1"/>
    <xf numFmtId="0" fontId="5" fillId="0" borderId="2" xfId="0" applyFont="1" applyBorder="1"/>
    <xf numFmtId="1" fontId="1" fillId="0" borderId="2" xfId="0" applyNumberFormat="1" applyFont="1" applyBorder="1" applyAlignment="1">
      <alignment horizontal="right"/>
    </xf>
    <xf numFmtId="0" fontId="5" fillId="0" borderId="1" xfId="0" applyFont="1" applyBorder="1"/>
    <xf numFmtId="1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0" fontId="7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6" fontId="2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left"/>
    </xf>
    <xf numFmtId="0" fontId="1" fillId="3" borderId="3" xfId="0" applyFont="1" applyFill="1" applyBorder="1"/>
    <xf numFmtId="165" fontId="1" fillId="3" borderId="3" xfId="0" applyNumberFormat="1" applyFont="1" applyFill="1" applyBorder="1" applyAlignment="1">
      <alignment horizontal="right"/>
    </xf>
    <xf numFmtId="167" fontId="1" fillId="3" borderId="3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166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5">
    <dxf>
      <font>
        <b/>
        <sz val="10"/>
        <color rgb="FFB4412F"/>
        <name val="Arial"/>
      </font>
    </dxf>
    <dxf>
      <font>
        <b/>
        <sz val="10"/>
        <color rgb="FFB4412F"/>
        <name val="Arial"/>
      </font>
    </dxf>
    <dxf>
      <font>
        <b/>
        <sz val="10"/>
        <color rgb="FFB4412F"/>
        <name val="Arial"/>
      </font>
    </dxf>
    <dxf>
      <font>
        <b/>
        <sz val="10"/>
        <color rgb="FF175841"/>
        <name val="Arial"/>
      </font>
    </dxf>
    <dxf>
      <font>
        <b/>
        <sz val="10"/>
        <color rgb="FFB4412F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Summary!$B$13</c:f>
              <c:strCache>
                <c:ptCount val="1"/>
                <c:pt idx="0">
                  <c:v>Actual (USD)</c:v>
                </c:pt>
              </c:strCache>
            </c:strRef>
          </c:tx>
          <c:spPr>
            <a:solidFill>
              <a:srgbClr val="175841"/>
            </a:solidFill>
            <a:ln>
              <a:solidFill>
                <a:srgbClr val="175841"/>
              </a:solidFill>
              <a:prstDash val="solid"/>
            </a:ln>
          </c:spPr>
          <c:invertIfNegative val="1"/>
          <c:cat>
            <c:numRef>
              <c:f>Summary!$A$14:$A$19</c:f>
              <c:numCache>
                <c:formatCode>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Summary!$B$14:$B$19</c:f>
              <c:numCache>
                <c:formatCode>#,##0.00;\(#,##0.00\);"-"</c:formatCode>
                <c:ptCount val="6"/>
                <c:pt idx="0">
                  <c:v>1678.69</c:v>
                </c:pt>
                <c:pt idx="1">
                  <c:v>2117.64</c:v>
                </c:pt>
                <c:pt idx="2">
                  <c:v>1706.24</c:v>
                </c:pt>
                <c:pt idx="3">
                  <c:v>1799.74</c:v>
                </c:pt>
                <c:pt idx="4">
                  <c:v>1903.69</c:v>
                </c:pt>
                <c:pt idx="5">
                  <c:v>1788.84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584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46-433C-94EA-C16EEFAB09C4}"/>
            </c:ext>
          </c:extLst>
        </c:ser>
        <c:ser>
          <c:idx val="1"/>
          <c:order val="1"/>
          <c:tx>
            <c:strRef>
              <c:f>Summary!$C$13</c:f>
              <c:strCache>
                <c:ptCount val="1"/>
                <c:pt idx="0">
                  <c:v>Budget (USD)</c:v>
                </c:pt>
              </c:strCache>
            </c:strRef>
          </c:tx>
          <c:spPr>
            <a:solidFill>
              <a:srgbClr val="93B3A0"/>
            </a:solidFill>
            <a:ln>
              <a:solidFill>
                <a:srgbClr val="93B3A0"/>
              </a:solidFill>
              <a:prstDash val="solid"/>
            </a:ln>
          </c:spPr>
          <c:invertIfNegative val="1"/>
          <c:cat>
            <c:numRef>
              <c:f>Summary!$A$14:$A$19</c:f>
              <c:numCache>
                <c:formatCode>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Summary!$C$14:$C$19</c:f>
              <c:numCache>
                <c:formatCode>#,##0.00;\(#,##0.00\);"-"</c:formatCode>
                <c:ptCount val="6"/>
                <c:pt idx="0">
                  <c:v>2100</c:v>
                </c:pt>
                <c:pt idx="1">
                  <c:v>2100</c:v>
                </c:pt>
                <c:pt idx="2">
                  <c:v>2100</c:v>
                </c:pt>
                <c:pt idx="3">
                  <c:v>2100</c:v>
                </c:pt>
                <c:pt idx="4">
                  <c:v>2100</c:v>
                </c:pt>
                <c:pt idx="5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3B3A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46-433C-94EA-C16EEFAB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6"/>
        <c:axId val="10"/>
        <c:axId val="100"/>
      </c:barChart>
      <c:dateAx>
        <c:axId val="1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FE3DC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F43">
  <autoFilter ref="A1:F43" xr:uid="{00000000-0009-0000-0100-000001000000}"/>
  <tableColumns count="6">
    <tableColumn id="1" xr3:uid="{00000000-0010-0000-0000-000001000000}" name="Transaction ID"/>
    <tableColumn id="2" xr3:uid="{00000000-0010-0000-0000-000002000000}" name="Date"/>
    <tableColumn id="3" xr3:uid="{00000000-0010-0000-0000-000003000000}" name="Category"/>
    <tableColumn id="4" xr3:uid="{00000000-0010-0000-0000-000004000000}" name="Supplier"/>
    <tableColumn id="5" xr3:uid="{00000000-0010-0000-0000-000005000000}" name="Description"/>
    <tableColumn id="6" xr3:uid="{00000000-0010-0000-0000-000006000000}" name="Amount (USD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dgetsTable" displayName="BudgetsTable" ref="A1:C25">
  <autoFilter ref="A1:C25" xr:uid="{00000000-0009-0000-0100-000002000000}"/>
  <tableColumns count="3">
    <tableColumn id="1" xr3:uid="{00000000-0010-0000-0100-000001000000}" name="Month"/>
    <tableColumn id="2" xr3:uid="{00000000-0010-0000-0100-000002000000}" name="Category"/>
    <tableColumn id="3" xr3:uid="{00000000-0010-0000-0100-000003000000}" name="Budget (USD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workbookViewId="0"/>
  </sheetViews>
  <sheetFormatPr defaultRowHeight="15" x14ac:dyDescent="0.25"/>
  <cols>
    <col min="1" max="1" width="36" customWidth="1"/>
    <col min="2" max="4" width="16" customWidth="1"/>
    <col min="5" max="5" width="14" customWidth="1"/>
    <col min="7" max="14" width="10" customWidth="1"/>
  </cols>
  <sheetData>
    <row r="1" spans="1:7" ht="20.25" x14ac:dyDescent="0.3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4">
        <f>SUMPRODUCT((Budgets!$A$2:$A$1000&lt;&gt;"")/COUNTIF(Budgets!$A$2:$A$1000,Budgets!$A$2:$A$1000&amp;""))</f>
        <v>6</v>
      </c>
    </row>
    <row r="5" spans="1:7" x14ac:dyDescent="0.25">
      <c r="A5" s="5" t="s">
        <v>3</v>
      </c>
      <c r="B5" s="6">
        <f>COUNT(Transactions!$F$2:$F$1000)</f>
        <v>42</v>
      </c>
    </row>
    <row r="6" spans="1:7" x14ac:dyDescent="0.25">
      <c r="A6" s="5" t="s">
        <v>4</v>
      </c>
      <c r="B6" s="7">
        <f>SUM(Transactions!$F$2:$F$1000)</f>
        <v>10994.84</v>
      </c>
    </row>
    <row r="7" spans="1:7" x14ac:dyDescent="0.25">
      <c r="A7" s="5" t="s">
        <v>5</v>
      </c>
      <c r="B7" s="7">
        <f>SUM(Budgets!$C$2:$C$1000)</f>
        <v>12600</v>
      </c>
    </row>
    <row r="8" spans="1:7" x14ac:dyDescent="0.25">
      <c r="A8" s="5" t="s">
        <v>6</v>
      </c>
      <c r="B8" s="7">
        <f>B7-B6</f>
        <v>1605.1599999999999</v>
      </c>
    </row>
    <row r="9" spans="1:7" x14ac:dyDescent="0.25">
      <c r="A9" s="5" t="s">
        <v>7</v>
      </c>
      <c r="B9" s="8">
        <f>IF(B7=0,"",B6/B7)</f>
        <v>0.87260634920634916</v>
      </c>
    </row>
    <row r="10" spans="1:7" x14ac:dyDescent="0.25">
      <c r="A10" s="5" t="s">
        <v>8</v>
      </c>
      <c r="B10" s="7">
        <f>IF(B4=0,"",B6/B4)</f>
        <v>1832.4733333333334</v>
      </c>
    </row>
    <row r="12" spans="1:7" ht="15.75" x14ac:dyDescent="0.25">
      <c r="A12" s="9" t="s">
        <v>9</v>
      </c>
      <c r="G12" s="9" t="s">
        <v>10</v>
      </c>
    </row>
    <row r="13" spans="1:7" ht="21.95" customHeight="1" x14ac:dyDescent="0.25">
      <c r="A13" s="10" t="s">
        <v>11</v>
      </c>
      <c r="B13" s="11" t="s">
        <v>12</v>
      </c>
      <c r="C13" s="11" t="s">
        <v>13</v>
      </c>
      <c r="D13" s="11" t="s">
        <v>14</v>
      </c>
      <c r="E13" s="11" t="s">
        <v>7</v>
      </c>
    </row>
    <row r="14" spans="1:7" x14ac:dyDescent="0.25">
      <c r="A14" s="12">
        <v>46023</v>
      </c>
      <c r="B14" s="13">
        <f>SUMIFS(Transactions!$F$2:$F$1000,Transactions!$B$2:$B$1000,"&gt;="&amp;A14,Transactions!$B$2:$B$1000,"&lt;"&amp;EDATE(A14,1))</f>
        <v>1678.69</v>
      </c>
      <c r="C14" s="13">
        <f>SUMIFS(Budgets!$C$2:$C$1000,Budgets!$A$2:$A$1000,A14)</f>
        <v>2100</v>
      </c>
      <c r="D14" s="13">
        <f t="shared" ref="D14:D20" si="0">C14-B14</f>
        <v>421.30999999999995</v>
      </c>
      <c r="E14" s="14">
        <f t="shared" ref="E14:E20" si="1">IF(C14=0,"",B14/C14)</f>
        <v>0.79937619047619046</v>
      </c>
    </row>
    <row r="15" spans="1:7" x14ac:dyDescent="0.25">
      <c r="A15" s="15">
        <f>EDATE(A14,1)</f>
        <v>46054</v>
      </c>
      <c r="B15" s="13">
        <f>SUMIFS(Transactions!$F$2:$F$1000,Transactions!$B$2:$B$1000,"&gt;="&amp;A15,Transactions!$B$2:$B$1000,"&lt;"&amp;EDATE(A15,1))</f>
        <v>2117.64</v>
      </c>
      <c r="C15" s="13">
        <f>SUMIFS(Budgets!$C$2:$C$1000,Budgets!$A$2:$A$1000,A15)</f>
        <v>2100</v>
      </c>
      <c r="D15" s="13">
        <f t="shared" si="0"/>
        <v>-17.639999999999873</v>
      </c>
      <c r="E15" s="14">
        <f t="shared" si="1"/>
        <v>1.0084</v>
      </c>
    </row>
    <row r="16" spans="1:7" x14ac:dyDescent="0.25">
      <c r="A16" s="15">
        <f>EDATE(A15,1)</f>
        <v>46082</v>
      </c>
      <c r="B16" s="13">
        <f>SUMIFS(Transactions!$F$2:$F$1000,Transactions!$B$2:$B$1000,"&gt;="&amp;A16,Transactions!$B$2:$B$1000,"&lt;"&amp;EDATE(A16,1))</f>
        <v>1706.24</v>
      </c>
      <c r="C16" s="13">
        <f>SUMIFS(Budgets!$C$2:$C$1000,Budgets!$A$2:$A$1000,A16)</f>
        <v>2100</v>
      </c>
      <c r="D16" s="13">
        <f t="shared" si="0"/>
        <v>393.76</v>
      </c>
      <c r="E16" s="14">
        <f t="shared" si="1"/>
        <v>0.81249523809523805</v>
      </c>
    </row>
    <row r="17" spans="1:5" x14ac:dyDescent="0.25">
      <c r="A17" s="15">
        <f>EDATE(A16,1)</f>
        <v>46113</v>
      </c>
      <c r="B17" s="13">
        <f>SUMIFS(Transactions!$F$2:$F$1000,Transactions!$B$2:$B$1000,"&gt;="&amp;A17,Transactions!$B$2:$B$1000,"&lt;"&amp;EDATE(A17,1))</f>
        <v>1799.74</v>
      </c>
      <c r="C17" s="13">
        <f>SUMIFS(Budgets!$C$2:$C$1000,Budgets!$A$2:$A$1000,A17)</f>
        <v>2100</v>
      </c>
      <c r="D17" s="13">
        <f t="shared" si="0"/>
        <v>300.26</v>
      </c>
      <c r="E17" s="14">
        <f t="shared" si="1"/>
        <v>0.85701904761904757</v>
      </c>
    </row>
    <row r="18" spans="1:5" x14ac:dyDescent="0.25">
      <c r="A18" s="15">
        <f>EDATE(A17,1)</f>
        <v>46143</v>
      </c>
      <c r="B18" s="13">
        <f>SUMIFS(Transactions!$F$2:$F$1000,Transactions!$B$2:$B$1000,"&gt;="&amp;A18,Transactions!$B$2:$B$1000,"&lt;"&amp;EDATE(A18,1))</f>
        <v>1903.69</v>
      </c>
      <c r="C18" s="13">
        <f>SUMIFS(Budgets!$C$2:$C$1000,Budgets!$A$2:$A$1000,A18)</f>
        <v>2100</v>
      </c>
      <c r="D18" s="13">
        <f t="shared" si="0"/>
        <v>196.30999999999995</v>
      </c>
      <c r="E18" s="14">
        <f t="shared" si="1"/>
        <v>0.90651904761904767</v>
      </c>
    </row>
    <row r="19" spans="1:5" x14ac:dyDescent="0.25">
      <c r="A19" s="15">
        <f>EDATE(A18,1)</f>
        <v>46174</v>
      </c>
      <c r="B19" s="13">
        <f>SUMIFS(Transactions!$F$2:$F$1000,Transactions!$B$2:$B$1000,"&gt;="&amp;A19,Transactions!$B$2:$B$1000,"&lt;"&amp;EDATE(A19,1))</f>
        <v>1788.84</v>
      </c>
      <c r="C19" s="13">
        <f>SUMIFS(Budgets!$C$2:$C$1000,Budgets!$A$2:$A$1000,A19)</f>
        <v>2100</v>
      </c>
      <c r="D19" s="13">
        <f t="shared" si="0"/>
        <v>311.16000000000008</v>
      </c>
      <c r="E19" s="14">
        <f t="shared" si="1"/>
        <v>0.85182857142857138</v>
      </c>
    </row>
    <row r="20" spans="1:5" x14ac:dyDescent="0.25">
      <c r="A20" s="16" t="s">
        <v>15</v>
      </c>
      <c r="B20" s="17">
        <f>SUM(B14:B19)</f>
        <v>10994.84</v>
      </c>
      <c r="C20" s="17">
        <f>SUM(C14:C19)</f>
        <v>12600</v>
      </c>
      <c r="D20" s="17">
        <f t="shared" si="0"/>
        <v>1605.1599999999999</v>
      </c>
      <c r="E20" s="18">
        <f t="shared" si="1"/>
        <v>0.87260634920634916</v>
      </c>
    </row>
    <row r="22" spans="1:5" ht="15.75" x14ac:dyDescent="0.25">
      <c r="A22" s="9" t="s">
        <v>16</v>
      </c>
    </row>
    <row r="23" spans="1:5" ht="21.95" customHeight="1" x14ac:dyDescent="0.25">
      <c r="A23" s="10" t="s">
        <v>17</v>
      </c>
      <c r="B23" s="11" t="s">
        <v>12</v>
      </c>
      <c r="C23" s="11" t="s">
        <v>13</v>
      </c>
      <c r="D23" s="11" t="s">
        <v>14</v>
      </c>
      <c r="E23" s="11" t="s">
        <v>7</v>
      </c>
    </row>
    <row r="24" spans="1:5" x14ac:dyDescent="0.25">
      <c r="A24" s="5" t="str">
        <f>Lists!A2</f>
        <v>Facilities</v>
      </c>
      <c r="B24" s="13">
        <f>SUMIFS(Transactions!$F$2:$F$1000,Transactions!$C$2:$C$1000,A24)</f>
        <v>8274.6</v>
      </c>
      <c r="C24" s="13">
        <f>SUMIFS(Budgets!$C$2:$C$1000,Budgets!$B$2:$B$1000,A24)</f>
        <v>9000</v>
      </c>
      <c r="D24" s="13">
        <f>C24-B24</f>
        <v>725.39999999999964</v>
      </c>
      <c r="E24" s="14">
        <f>IF(C24=0,"",B24/C24)</f>
        <v>0.9194</v>
      </c>
    </row>
    <row r="25" spans="1:5" x14ac:dyDescent="0.25">
      <c r="A25" s="5" t="str">
        <f>Lists!A3</f>
        <v>Software</v>
      </c>
      <c r="B25" s="13">
        <f>SUMIFS(Transactions!$F$2:$F$1000,Transactions!$C$2:$C$1000,A25)</f>
        <v>797.94</v>
      </c>
      <c r="C25" s="13">
        <f>SUMIFS(Budgets!$C$2:$C$1000,Budgets!$B$2:$B$1000,A25)</f>
        <v>900</v>
      </c>
      <c r="D25" s="13">
        <f>C25-B25</f>
        <v>102.05999999999995</v>
      </c>
      <c r="E25" s="14">
        <f>IF(C25=0,"",B25/C25)</f>
        <v>0.88660000000000005</v>
      </c>
    </row>
    <row r="26" spans="1:5" x14ac:dyDescent="0.25">
      <c r="A26" s="5" t="str">
        <f>Lists!A4</f>
        <v>Travel</v>
      </c>
      <c r="B26" s="13">
        <f>SUMIFS(Transactions!$F$2:$F$1000,Transactions!$C$2:$C$1000,A26)</f>
        <v>1514.8000000000002</v>
      </c>
      <c r="C26" s="13">
        <f>SUMIFS(Budgets!$C$2:$C$1000,Budgets!$B$2:$B$1000,A26)</f>
        <v>1800</v>
      </c>
      <c r="D26" s="13">
        <f>C26-B26</f>
        <v>285.19999999999982</v>
      </c>
      <c r="E26" s="14">
        <f>IF(C26=0,"",B26/C26)</f>
        <v>0.84155555555555561</v>
      </c>
    </row>
    <row r="27" spans="1:5" x14ac:dyDescent="0.25">
      <c r="A27" s="5" t="str">
        <f>Lists!A5</f>
        <v>Equipment</v>
      </c>
      <c r="B27" s="13">
        <f>SUMIFS(Transactions!$F$2:$F$1000,Transactions!$C$2:$C$1000,A27)</f>
        <v>407.5</v>
      </c>
      <c r="C27" s="13">
        <f>SUMIFS(Budgets!$C$2:$C$1000,Budgets!$B$2:$B$1000,A27)</f>
        <v>900</v>
      </c>
      <c r="D27" s="13">
        <f>C27-B27</f>
        <v>492.5</v>
      </c>
      <c r="E27" s="14">
        <f>IF(C27=0,"",B27/C27)</f>
        <v>0.45277777777777778</v>
      </c>
    </row>
    <row r="28" spans="1:5" x14ac:dyDescent="0.25">
      <c r="A28" s="16" t="s">
        <v>15</v>
      </c>
      <c r="B28" s="17">
        <f>SUM(B24:B27)</f>
        <v>10994.84</v>
      </c>
      <c r="C28" s="17">
        <f>SUM(C24:C27)</f>
        <v>12600</v>
      </c>
      <c r="D28" s="17">
        <f>C28-B28</f>
        <v>1605.1599999999999</v>
      </c>
      <c r="E28" s="18">
        <f>IF(C28=0,"",B28/C28)</f>
        <v>0.87260634920634916</v>
      </c>
    </row>
    <row r="30" spans="1:5" ht="15.75" x14ac:dyDescent="0.25">
      <c r="A30" s="9" t="s">
        <v>18</v>
      </c>
    </row>
    <row r="31" spans="1:5" x14ac:dyDescent="0.25">
      <c r="A31" s="5" t="s">
        <v>19</v>
      </c>
      <c r="B31" s="19" t="str">
        <f>IF(ROUND(B20-B6,2)=0,"OK","Check: a transaction falls outside the months listed")</f>
        <v>OK</v>
      </c>
    </row>
    <row r="32" spans="1:5" x14ac:dyDescent="0.25">
      <c r="A32" s="5" t="s">
        <v>20</v>
      </c>
      <c r="B32" s="19" t="str">
        <f>IF(ROUND(B28-B6,2)=0,"OK","Check: a transaction has an unlisted category")</f>
        <v>OK</v>
      </c>
    </row>
    <row r="33" spans="1:2" x14ac:dyDescent="0.25">
      <c r="A33" s="5" t="s">
        <v>21</v>
      </c>
      <c r="B33" s="19" t="str">
        <f>IF(AND(ROUND(C20-B7,2)=0,ROUND(C28-B7,2)=0),"OK","Check the Budgets sheet")</f>
        <v>OK</v>
      </c>
    </row>
    <row r="35" spans="1:2" ht="15.75" x14ac:dyDescent="0.25">
      <c r="A35" s="9" t="s">
        <v>22</v>
      </c>
    </row>
    <row r="36" spans="1:2" x14ac:dyDescent="0.25">
      <c r="A36" s="2" t="s">
        <v>23</v>
      </c>
    </row>
    <row r="37" spans="1:2" x14ac:dyDescent="0.25">
      <c r="A37" s="2" t="s">
        <v>24</v>
      </c>
    </row>
    <row r="38" spans="1:2" x14ac:dyDescent="0.25">
      <c r="A38" s="2" t="s">
        <v>25</v>
      </c>
    </row>
    <row r="39" spans="1:2" x14ac:dyDescent="0.25">
      <c r="A39" s="2" t="s">
        <v>26</v>
      </c>
    </row>
  </sheetData>
  <conditionalFormatting sqref="B31:B33">
    <cfRule type="expression" dxfId="4" priority="3">
      <formula>B31&lt;&gt;"OK"</formula>
    </cfRule>
    <cfRule type="expression" dxfId="3" priority="4">
      <formula>B31="OK"</formula>
    </cfRule>
  </conditionalFormatting>
  <conditionalFormatting sqref="E14:E20">
    <cfRule type="expression" dxfId="2" priority="1">
      <formula>AND(ISNUMBER(E14),E14&gt;1)</formula>
    </cfRule>
  </conditionalFormatting>
  <conditionalFormatting sqref="E24:E28">
    <cfRule type="expression" dxfId="1" priority="2">
      <formula>AND(ISNUMBER(E24),E24&gt;1)</formula>
    </cfRule>
  </conditionalFormatting>
  <printOptions horizontalCentered="1"/>
  <pageMargins left="0.5" right="0.5" top="1" bottom="1" header="0.5" footer="0.5"/>
  <pageSetup paperSize="9" fitToHeight="0" orientation="landscape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5" width="14" customWidth="1"/>
    <col min="6" max="6" width="13" customWidth="1"/>
    <col min="7" max="7" width="18" customWidth="1"/>
    <col min="8" max="8" width="22" customWidth="1"/>
    <col min="9" max="9" width="13" customWidth="1"/>
  </cols>
  <sheetData>
    <row r="1" spans="1:11" ht="21.95" customHeight="1" x14ac:dyDescent="0.25">
      <c r="A1" s="10" t="s">
        <v>11</v>
      </c>
      <c r="B1" s="10" t="s">
        <v>17</v>
      </c>
      <c r="C1" s="11" t="s">
        <v>12</v>
      </c>
      <c r="D1" s="11" t="s">
        <v>13</v>
      </c>
      <c r="E1" s="11" t="s">
        <v>14</v>
      </c>
      <c r="F1" s="11" t="s">
        <v>7</v>
      </c>
      <c r="G1" s="11" t="s">
        <v>27</v>
      </c>
      <c r="H1" s="11" t="s">
        <v>28</v>
      </c>
      <c r="I1" s="11" t="s">
        <v>3</v>
      </c>
      <c r="K1" s="2" t="s">
        <v>29</v>
      </c>
    </row>
    <row r="2" spans="1:11" x14ac:dyDescent="0.25">
      <c r="A2" s="20">
        <f>IF(Budgets!A2="","",Budgets!A2)</f>
        <v>46023</v>
      </c>
      <c r="B2" s="21" t="str">
        <f>IF(Budgets!A2="","",Budgets!B2)</f>
        <v>Facilities</v>
      </c>
      <c r="C2" s="13">
        <f>IF($A2="","",SUMIFS(Transactions!$F$2:$F$1000,Transactions!$C$2:$C$1000,$B2,Transactions!$B$2:$B$1000,"&gt;="&amp;$A2,Transactions!$B$2:$B$1000,"&lt;"&amp;EDATE($A2,1)))</f>
        <v>1380.2</v>
      </c>
      <c r="D2" s="13">
        <f>IF($A2="","",Budgets!C2)</f>
        <v>1500</v>
      </c>
      <c r="E2" s="13">
        <f t="shared" ref="E2:E49" si="0">IF($A2="","",D2-C2)</f>
        <v>119.79999999999995</v>
      </c>
      <c r="F2" s="14">
        <f t="shared" ref="F2:F49" si="1">IF(OR($A2="",N(D2)=0),"",C2/D2)</f>
        <v>0.92013333333333336</v>
      </c>
      <c r="G2" s="13">
        <f>IF($A2="","",SUMIFS(Transactions!$F$2:$F$1000,Transactions!$C$2:$C$1000,$B2,Transactions!$B$2:$B$1000,"&gt;="&amp;EDATE($A2,-1),Transactions!$B$2:$B$1000,"&lt;"&amp;$A2))</f>
        <v>0</v>
      </c>
      <c r="H2" s="13">
        <f t="shared" ref="H2:H49" si="2">IF($A2="","",C2-G2)</f>
        <v>1380.2</v>
      </c>
      <c r="I2" s="22">
        <f>IF($A2="","",COUNTIFS(Transactions!$C$2:$C$1000,$B2,Transactions!$B$2:$B$1000,"&gt;="&amp;$A2,Transactions!$B$2:$B$1000,"&lt;"&amp;EDATE($A2,1)))</f>
        <v>2</v>
      </c>
    </row>
    <row r="3" spans="1:11" x14ac:dyDescent="0.25">
      <c r="A3" s="20">
        <f>IF(Budgets!A3="","",Budgets!A3)</f>
        <v>46023</v>
      </c>
      <c r="B3" s="21" t="str">
        <f>IF(Budgets!A3="","",Budgets!B3)</f>
        <v>Software</v>
      </c>
      <c r="C3" s="13">
        <f>IF($A3="","",SUMIFS(Transactions!$F$2:$F$1000,Transactions!$C$2:$C$1000,$B3,Transactions!$B$2:$B$1000,"&gt;="&amp;$A3,Transactions!$B$2:$B$1000,"&lt;"&amp;EDATE($A3,1)))</f>
        <v>87.99</v>
      </c>
      <c r="D3" s="13">
        <f>IF($A3="","",Budgets!C3)</f>
        <v>150</v>
      </c>
      <c r="E3" s="13">
        <f t="shared" si="0"/>
        <v>62.010000000000005</v>
      </c>
      <c r="F3" s="14">
        <f t="shared" si="1"/>
        <v>0.58660000000000001</v>
      </c>
      <c r="G3" s="13">
        <f>IF($A3="","",SUMIFS(Transactions!$F$2:$F$1000,Transactions!$C$2:$C$1000,$B3,Transactions!$B$2:$B$1000,"&gt;="&amp;EDATE($A3,-1),Transactions!$B$2:$B$1000,"&lt;"&amp;$A3))</f>
        <v>0</v>
      </c>
      <c r="H3" s="13">
        <f t="shared" si="2"/>
        <v>87.99</v>
      </c>
      <c r="I3" s="22">
        <f>IF($A3="","",COUNTIFS(Transactions!$C$2:$C$1000,$B3,Transactions!$B$2:$B$1000,"&gt;="&amp;$A3,Transactions!$B$2:$B$1000,"&lt;"&amp;EDATE($A3,1)))</f>
        <v>2</v>
      </c>
    </row>
    <row r="4" spans="1:11" x14ac:dyDescent="0.25">
      <c r="A4" s="20">
        <f>IF(Budgets!A4="","",Budgets!A4)</f>
        <v>46023</v>
      </c>
      <c r="B4" s="21" t="str">
        <f>IF(Budgets!A4="","",Budgets!B4)</f>
        <v>Travel</v>
      </c>
      <c r="C4" s="13">
        <f>IF($A4="","",SUMIFS(Transactions!$F$2:$F$1000,Transactions!$C$2:$C$1000,$B4,Transactions!$B$2:$B$1000,"&gt;="&amp;$A4,Transactions!$B$2:$B$1000,"&lt;"&amp;EDATE($A4,1)))</f>
        <v>210.5</v>
      </c>
      <c r="D4" s="13">
        <f>IF($A4="","",Budgets!C4)</f>
        <v>300</v>
      </c>
      <c r="E4" s="13">
        <f t="shared" si="0"/>
        <v>89.5</v>
      </c>
      <c r="F4" s="14">
        <f t="shared" si="1"/>
        <v>0.70166666666666666</v>
      </c>
      <c r="G4" s="13">
        <f>IF($A4="","",SUMIFS(Transactions!$F$2:$F$1000,Transactions!$C$2:$C$1000,$B4,Transactions!$B$2:$B$1000,"&gt;="&amp;EDATE($A4,-1),Transactions!$B$2:$B$1000,"&lt;"&amp;$A4))</f>
        <v>0</v>
      </c>
      <c r="H4" s="13">
        <f t="shared" si="2"/>
        <v>210.5</v>
      </c>
      <c r="I4" s="22">
        <f>IF($A4="","",COUNTIFS(Transactions!$C$2:$C$1000,$B4,Transactions!$B$2:$B$1000,"&gt;="&amp;$A4,Transactions!$B$2:$B$1000,"&lt;"&amp;EDATE($A4,1)))</f>
        <v>1</v>
      </c>
    </row>
    <row r="5" spans="1:11" x14ac:dyDescent="0.25">
      <c r="A5" s="20">
        <f>IF(Budgets!A5="","",Budgets!A5)</f>
        <v>46023</v>
      </c>
      <c r="B5" s="21" t="str">
        <f>IF(Budgets!A5="","",Budgets!B5)</f>
        <v>Equipment</v>
      </c>
      <c r="C5" s="13">
        <f>IF($A5="","",SUMIFS(Transactions!$F$2:$F$1000,Transactions!$C$2:$C$1000,$B5,Transactions!$B$2:$B$1000,"&gt;="&amp;$A5,Transactions!$B$2:$B$1000,"&lt;"&amp;EDATE($A5,1)))</f>
        <v>0</v>
      </c>
      <c r="D5" s="13">
        <f>IF($A5="","",Budgets!C5)</f>
        <v>150</v>
      </c>
      <c r="E5" s="13">
        <f t="shared" si="0"/>
        <v>150</v>
      </c>
      <c r="F5" s="14">
        <f t="shared" si="1"/>
        <v>0</v>
      </c>
      <c r="G5" s="13">
        <f>IF($A5="","",SUMIFS(Transactions!$F$2:$F$1000,Transactions!$C$2:$C$1000,$B5,Transactions!$B$2:$B$1000,"&gt;="&amp;EDATE($A5,-1),Transactions!$B$2:$B$1000,"&lt;"&amp;$A5))</f>
        <v>0</v>
      </c>
      <c r="H5" s="13">
        <f t="shared" si="2"/>
        <v>0</v>
      </c>
      <c r="I5" s="22">
        <f>IF($A5="","",COUNTIFS(Transactions!$C$2:$C$1000,$B5,Transactions!$B$2:$B$1000,"&gt;="&amp;$A5,Transactions!$B$2:$B$1000,"&lt;"&amp;EDATE($A5,1)))</f>
        <v>0</v>
      </c>
    </row>
    <row r="6" spans="1:11" x14ac:dyDescent="0.25">
      <c r="A6" s="20">
        <f>IF(Budgets!A6="","",Budgets!A6)</f>
        <v>46054</v>
      </c>
      <c r="B6" s="21" t="str">
        <f>IF(Budgets!A6="","",Budgets!B6)</f>
        <v>Facilities</v>
      </c>
      <c r="C6" s="13">
        <f>IF($A6="","",SUMIFS(Transactions!$F$2:$F$1000,Transactions!$C$2:$C$1000,$B6,Transactions!$B$2:$B$1000,"&gt;="&amp;$A6,Transactions!$B$2:$B$1000,"&lt;"&amp;EDATE($A6,1)))</f>
        <v>1396.4</v>
      </c>
      <c r="D6" s="13">
        <f>IF($A6="","",Budgets!C6)</f>
        <v>1500</v>
      </c>
      <c r="E6" s="13">
        <f t="shared" si="0"/>
        <v>103.59999999999991</v>
      </c>
      <c r="F6" s="14">
        <f t="shared" si="1"/>
        <v>0.93093333333333339</v>
      </c>
      <c r="G6" s="13">
        <f>IF($A6="","",SUMIFS(Transactions!$F$2:$F$1000,Transactions!$C$2:$C$1000,$B6,Transactions!$B$2:$B$1000,"&gt;="&amp;EDATE($A6,-1),Transactions!$B$2:$B$1000,"&lt;"&amp;$A6))</f>
        <v>1380.2</v>
      </c>
      <c r="H6" s="13">
        <f t="shared" si="2"/>
        <v>16.200000000000045</v>
      </c>
      <c r="I6" s="22">
        <f>IF($A6="","",COUNTIFS(Transactions!$C$2:$C$1000,$B6,Transactions!$B$2:$B$1000,"&gt;="&amp;$A6,Transactions!$B$2:$B$1000,"&lt;"&amp;EDATE($A6,1)))</f>
        <v>2</v>
      </c>
    </row>
    <row r="7" spans="1:11" x14ac:dyDescent="0.25">
      <c r="A7" s="20">
        <f>IF(Budgets!A7="","",Budgets!A7)</f>
        <v>46054</v>
      </c>
      <c r="B7" s="21" t="str">
        <f>IF(Budgets!A7="","",Budgets!B7)</f>
        <v>Software</v>
      </c>
      <c r="C7" s="13">
        <f>IF($A7="","",SUMIFS(Transactions!$F$2:$F$1000,Transactions!$C$2:$C$1000,$B7,Transactions!$B$2:$B$1000,"&gt;="&amp;$A7,Transactions!$B$2:$B$1000,"&lt;"&amp;EDATE($A7,1)))</f>
        <v>141.99</v>
      </c>
      <c r="D7" s="13">
        <f>IF($A7="","",Budgets!C7)</f>
        <v>150</v>
      </c>
      <c r="E7" s="13">
        <f t="shared" si="0"/>
        <v>8.0099999999999909</v>
      </c>
      <c r="F7" s="14">
        <f t="shared" si="1"/>
        <v>0.94660000000000011</v>
      </c>
      <c r="G7" s="13">
        <f>IF($A7="","",SUMIFS(Transactions!$F$2:$F$1000,Transactions!$C$2:$C$1000,$B7,Transactions!$B$2:$B$1000,"&gt;="&amp;EDATE($A7,-1),Transactions!$B$2:$B$1000,"&lt;"&amp;$A7))</f>
        <v>87.99</v>
      </c>
      <c r="H7" s="13">
        <f t="shared" si="2"/>
        <v>54.000000000000014</v>
      </c>
      <c r="I7" s="22">
        <f>IF($A7="","",COUNTIFS(Transactions!$C$2:$C$1000,$B7,Transactions!$B$2:$B$1000,"&gt;="&amp;$A7,Transactions!$B$2:$B$1000,"&lt;"&amp;EDATE($A7,1)))</f>
        <v>3</v>
      </c>
    </row>
    <row r="8" spans="1:11" x14ac:dyDescent="0.25">
      <c r="A8" s="20">
        <f>IF(Budgets!A8="","",Budgets!A8)</f>
        <v>46054</v>
      </c>
      <c r="B8" s="21" t="str">
        <f>IF(Budgets!A8="","",Budgets!B8)</f>
        <v>Travel</v>
      </c>
      <c r="C8" s="13">
        <f>IF($A8="","",SUMIFS(Transactions!$F$2:$F$1000,Transactions!$C$2:$C$1000,$B8,Transactions!$B$2:$B$1000,"&gt;="&amp;$A8,Transactions!$B$2:$B$1000,"&lt;"&amp;EDATE($A8,1)))</f>
        <v>290.25</v>
      </c>
      <c r="D8" s="13">
        <f>IF($A8="","",Budgets!C8)</f>
        <v>300</v>
      </c>
      <c r="E8" s="13">
        <f t="shared" si="0"/>
        <v>9.75</v>
      </c>
      <c r="F8" s="14">
        <f t="shared" si="1"/>
        <v>0.96750000000000003</v>
      </c>
      <c r="G8" s="13">
        <f>IF($A8="","",SUMIFS(Transactions!$F$2:$F$1000,Transactions!$C$2:$C$1000,$B8,Transactions!$B$2:$B$1000,"&gt;="&amp;EDATE($A8,-1),Transactions!$B$2:$B$1000,"&lt;"&amp;$A8))</f>
        <v>210.5</v>
      </c>
      <c r="H8" s="13">
        <f t="shared" si="2"/>
        <v>79.75</v>
      </c>
      <c r="I8" s="22">
        <f>IF($A8="","",COUNTIFS(Transactions!$C$2:$C$1000,$B8,Transactions!$B$2:$B$1000,"&gt;="&amp;$A8,Transactions!$B$2:$B$1000,"&lt;"&amp;EDATE($A8,1)))</f>
        <v>2</v>
      </c>
    </row>
    <row r="9" spans="1:11" x14ac:dyDescent="0.25">
      <c r="A9" s="20">
        <f>IF(Budgets!A9="","",Budgets!A9)</f>
        <v>46054</v>
      </c>
      <c r="B9" s="21" t="str">
        <f>IF(Budgets!A9="","",Budgets!B9)</f>
        <v>Equipment</v>
      </c>
      <c r="C9" s="13">
        <f>IF($A9="","",SUMIFS(Transactions!$F$2:$F$1000,Transactions!$C$2:$C$1000,$B9,Transactions!$B$2:$B$1000,"&gt;="&amp;$A9,Transactions!$B$2:$B$1000,"&lt;"&amp;EDATE($A9,1)))</f>
        <v>289</v>
      </c>
      <c r="D9" s="13">
        <f>IF($A9="","",Budgets!C9)</f>
        <v>150</v>
      </c>
      <c r="E9" s="13">
        <f t="shared" si="0"/>
        <v>-139</v>
      </c>
      <c r="F9" s="14">
        <f t="shared" si="1"/>
        <v>1.9266666666666667</v>
      </c>
      <c r="G9" s="13">
        <f>IF($A9="","",SUMIFS(Transactions!$F$2:$F$1000,Transactions!$C$2:$C$1000,$B9,Transactions!$B$2:$B$1000,"&gt;="&amp;EDATE($A9,-1),Transactions!$B$2:$B$1000,"&lt;"&amp;$A9))</f>
        <v>0</v>
      </c>
      <c r="H9" s="13">
        <f t="shared" si="2"/>
        <v>289</v>
      </c>
      <c r="I9" s="22">
        <f>IF($A9="","",COUNTIFS(Transactions!$C$2:$C$1000,$B9,Transactions!$B$2:$B$1000,"&gt;="&amp;$A9,Transactions!$B$2:$B$1000,"&lt;"&amp;EDATE($A9,1)))</f>
        <v>1</v>
      </c>
    </row>
    <row r="10" spans="1:11" x14ac:dyDescent="0.25">
      <c r="A10" s="20">
        <f>IF(Budgets!A10="","",Budgets!A10)</f>
        <v>46082</v>
      </c>
      <c r="B10" s="21" t="str">
        <f>IF(Budgets!A10="","",Budgets!B10)</f>
        <v>Facilities</v>
      </c>
      <c r="C10" s="13">
        <f>IF($A10="","",SUMIFS(Transactions!$F$2:$F$1000,Transactions!$C$2:$C$1000,$B10,Transactions!$B$2:$B$1000,"&gt;="&amp;$A10,Transactions!$B$2:$B$1000,"&lt;"&amp;EDATE($A10,1)))</f>
        <v>1405</v>
      </c>
      <c r="D10" s="13">
        <f>IF($A10="","",Budgets!C10)</f>
        <v>1500</v>
      </c>
      <c r="E10" s="13">
        <f t="shared" si="0"/>
        <v>95</v>
      </c>
      <c r="F10" s="14">
        <f t="shared" si="1"/>
        <v>0.93666666666666665</v>
      </c>
      <c r="G10" s="13">
        <f>IF($A10="","",SUMIFS(Transactions!$F$2:$F$1000,Transactions!$C$2:$C$1000,$B10,Transactions!$B$2:$B$1000,"&gt;="&amp;EDATE($A10,-1),Transactions!$B$2:$B$1000,"&lt;"&amp;$A10))</f>
        <v>1396.4</v>
      </c>
      <c r="H10" s="13">
        <f t="shared" si="2"/>
        <v>8.5999999999999091</v>
      </c>
      <c r="I10" s="22">
        <f>IF($A10="","",COUNTIFS(Transactions!$C$2:$C$1000,$B10,Transactions!$B$2:$B$1000,"&gt;="&amp;$A10,Transactions!$B$2:$B$1000,"&lt;"&amp;EDATE($A10,1)))</f>
        <v>2</v>
      </c>
    </row>
    <row r="11" spans="1:11" x14ac:dyDescent="0.25">
      <c r="A11" s="20">
        <f>IF(Budgets!A11="","",Budgets!A11)</f>
        <v>46082</v>
      </c>
      <c r="B11" s="21" t="str">
        <f>IF(Budgets!A11="","",Budgets!B11)</f>
        <v>Software</v>
      </c>
      <c r="C11" s="13">
        <f>IF($A11="","",SUMIFS(Transactions!$F$2:$F$1000,Transactions!$C$2:$C$1000,$B11,Transactions!$B$2:$B$1000,"&gt;="&amp;$A11,Transactions!$B$2:$B$1000,"&lt;"&amp;EDATE($A11,1)))</f>
        <v>141.99</v>
      </c>
      <c r="D11" s="13">
        <f>IF($A11="","",Budgets!C11)</f>
        <v>150</v>
      </c>
      <c r="E11" s="13">
        <f t="shared" si="0"/>
        <v>8.0099999999999909</v>
      </c>
      <c r="F11" s="14">
        <f t="shared" si="1"/>
        <v>0.94660000000000011</v>
      </c>
      <c r="G11" s="13">
        <f>IF($A11="","",SUMIFS(Transactions!$F$2:$F$1000,Transactions!$C$2:$C$1000,$B11,Transactions!$B$2:$B$1000,"&gt;="&amp;EDATE($A11,-1),Transactions!$B$2:$B$1000,"&lt;"&amp;$A11))</f>
        <v>141.99</v>
      </c>
      <c r="H11" s="13">
        <f t="shared" si="2"/>
        <v>0</v>
      </c>
      <c r="I11" s="22">
        <f>IF($A11="","",COUNTIFS(Transactions!$C$2:$C$1000,$B11,Transactions!$B$2:$B$1000,"&gt;="&amp;$A11,Transactions!$B$2:$B$1000,"&lt;"&amp;EDATE($A11,1)))</f>
        <v>3</v>
      </c>
    </row>
    <row r="12" spans="1:11" x14ac:dyDescent="0.25">
      <c r="A12" s="20">
        <f>IF(Budgets!A12="","",Budgets!A12)</f>
        <v>46082</v>
      </c>
      <c r="B12" s="21" t="str">
        <f>IF(Budgets!A12="","",Budgets!B12)</f>
        <v>Travel</v>
      </c>
      <c r="C12" s="13">
        <f>IF($A12="","",SUMIFS(Transactions!$F$2:$F$1000,Transactions!$C$2:$C$1000,$B12,Transactions!$B$2:$B$1000,"&gt;="&amp;$A12,Transactions!$B$2:$B$1000,"&lt;"&amp;EDATE($A12,1)))</f>
        <v>112.75</v>
      </c>
      <c r="D12" s="13">
        <f>IF($A12="","",Budgets!C12)</f>
        <v>300</v>
      </c>
      <c r="E12" s="13">
        <f t="shared" si="0"/>
        <v>187.25</v>
      </c>
      <c r="F12" s="14">
        <f t="shared" si="1"/>
        <v>0.37583333333333335</v>
      </c>
      <c r="G12" s="13">
        <f>IF($A12="","",SUMIFS(Transactions!$F$2:$F$1000,Transactions!$C$2:$C$1000,$B12,Transactions!$B$2:$B$1000,"&gt;="&amp;EDATE($A12,-1),Transactions!$B$2:$B$1000,"&lt;"&amp;$A12))</f>
        <v>290.25</v>
      </c>
      <c r="H12" s="13">
        <f t="shared" si="2"/>
        <v>-177.5</v>
      </c>
      <c r="I12" s="22">
        <f>IF($A12="","",COUNTIFS(Transactions!$C$2:$C$1000,$B12,Transactions!$B$2:$B$1000,"&gt;="&amp;$A12,Transactions!$B$2:$B$1000,"&lt;"&amp;EDATE($A12,1)))</f>
        <v>1</v>
      </c>
    </row>
    <row r="13" spans="1:11" x14ac:dyDescent="0.25">
      <c r="A13" s="20">
        <f>IF(Budgets!A13="","",Budgets!A13)</f>
        <v>46082</v>
      </c>
      <c r="B13" s="21" t="str">
        <f>IF(Budgets!A13="","",Budgets!B13)</f>
        <v>Equipment</v>
      </c>
      <c r="C13" s="13">
        <f>IF($A13="","",SUMIFS(Transactions!$F$2:$F$1000,Transactions!$C$2:$C$1000,$B13,Transactions!$B$2:$B$1000,"&gt;="&amp;$A13,Transactions!$B$2:$B$1000,"&lt;"&amp;EDATE($A13,1)))</f>
        <v>46.5</v>
      </c>
      <c r="D13" s="13">
        <f>IF($A13="","",Budgets!C13)</f>
        <v>150</v>
      </c>
      <c r="E13" s="13">
        <f t="shared" si="0"/>
        <v>103.5</v>
      </c>
      <c r="F13" s="14">
        <f t="shared" si="1"/>
        <v>0.31</v>
      </c>
      <c r="G13" s="13">
        <f>IF($A13="","",SUMIFS(Transactions!$F$2:$F$1000,Transactions!$C$2:$C$1000,$B13,Transactions!$B$2:$B$1000,"&gt;="&amp;EDATE($A13,-1),Transactions!$B$2:$B$1000,"&lt;"&amp;$A13))</f>
        <v>289</v>
      </c>
      <c r="H13" s="13">
        <f t="shared" si="2"/>
        <v>-242.5</v>
      </c>
      <c r="I13" s="22">
        <f>IF($A13="","",COUNTIFS(Transactions!$C$2:$C$1000,$B13,Transactions!$B$2:$B$1000,"&gt;="&amp;$A13,Transactions!$B$2:$B$1000,"&lt;"&amp;EDATE($A13,1)))</f>
        <v>1</v>
      </c>
    </row>
    <row r="14" spans="1:11" x14ac:dyDescent="0.25">
      <c r="A14" s="20">
        <f>IF(Budgets!A14="","",Budgets!A14)</f>
        <v>46113</v>
      </c>
      <c r="B14" s="21" t="str">
        <f>IF(Budgets!A14="","",Budgets!B14)</f>
        <v>Facilities</v>
      </c>
      <c r="C14" s="13">
        <f>IF($A14="","",SUMIFS(Transactions!$F$2:$F$1000,Transactions!$C$2:$C$1000,$B14,Transactions!$B$2:$B$1000,"&gt;="&amp;$A14,Transactions!$B$2:$B$1000,"&lt;"&amp;EDATE($A14,1)))</f>
        <v>1371.35</v>
      </c>
      <c r="D14" s="13">
        <f>IF($A14="","",Budgets!C14)</f>
        <v>1500</v>
      </c>
      <c r="E14" s="13">
        <f t="shared" si="0"/>
        <v>128.65000000000009</v>
      </c>
      <c r="F14" s="14">
        <f t="shared" si="1"/>
        <v>0.91423333333333323</v>
      </c>
      <c r="G14" s="13">
        <f>IF($A14="","",SUMIFS(Transactions!$F$2:$F$1000,Transactions!$C$2:$C$1000,$B14,Transactions!$B$2:$B$1000,"&gt;="&amp;EDATE($A14,-1),Transactions!$B$2:$B$1000,"&lt;"&amp;$A14))</f>
        <v>1405</v>
      </c>
      <c r="H14" s="13">
        <f t="shared" si="2"/>
        <v>-33.650000000000091</v>
      </c>
      <c r="I14" s="22">
        <f>IF($A14="","",COUNTIFS(Transactions!$C$2:$C$1000,$B14,Transactions!$B$2:$B$1000,"&gt;="&amp;$A14,Transactions!$B$2:$B$1000,"&lt;"&amp;EDATE($A14,1)))</f>
        <v>2</v>
      </c>
    </row>
    <row r="15" spans="1:11" x14ac:dyDescent="0.25">
      <c r="A15" s="20">
        <f>IF(Budgets!A15="","",Budgets!A15)</f>
        <v>46113</v>
      </c>
      <c r="B15" s="21" t="str">
        <f>IF(Budgets!A15="","",Budgets!B15)</f>
        <v>Software</v>
      </c>
      <c r="C15" s="13">
        <f>IF($A15="","",SUMIFS(Transactions!$F$2:$F$1000,Transactions!$C$2:$C$1000,$B15,Transactions!$B$2:$B$1000,"&gt;="&amp;$A15,Transactions!$B$2:$B$1000,"&lt;"&amp;EDATE($A15,1)))</f>
        <v>141.99</v>
      </c>
      <c r="D15" s="13">
        <f>IF($A15="","",Budgets!C15)</f>
        <v>150</v>
      </c>
      <c r="E15" s="13">
        <f t="shared" si="0"/>
        <v>8.0099999999999909</v>
      </c>
      <c r="F15" s="14">
        <f t="shared" si="1"/>
        <v>0.94660000000000011</v>
      </c>
      <c r="G15" s="13">
        <f>IF($A15="","",SUMIFS(Transactions!$F$2:$F$1000,Transactions!$C$2:$C$1000,$B15,Transactions!$B$2:$B$1000,"&gt;="&amp;EDATE($A15,-1),Transactions!$B$2:$B$1000,"&lt;"&amp;$A15))</f>
        <v>141.99</v>
      </c>
      <c r="H15" s="13">
        <f t="shared" si="2"/>
        <v>0</v>
      </c>
      <c r="I15" s="22">
        <f>IF($A15="","",COUNTIFS(Transactions!$C$2:$C$1000,$B15,Transactions!$B$2:$B$1000,"&gt;="&amp;$A15,Transactions!$B$2:$B$1000,"&lt;"&amp;EDATE($A15,1)))</f>
        <v>3</v>
      </c>
    </row>
    <row r="16" spans="1:11" x14ac:dyDescent="0.25">
      <c r="A16" s="20">
        <f>IF(Budgets!A16="","",Budgets!A16)</f>
        <v>46113</v>
      </c>
      <c r="B16" s="21" t="str">
        <f>IF(Budgets!A16="","",Budgets!B16)</f>
        <v>Travel</v>
      </c>
      <c r="C16" s="13">
        <f>IF($A16="","",SUMIFS(Transactions!$F$2:$F$1000,Transactions!$C$2:$C$1000,$B16,Transactions!$B$2:$B$1000,"&gt;="&amp;$A16,Transactions!$B$2:$B$1000,"&lt;"&amp;EDATE($A16,1)))</f>
        <v>286.39999999999998</v>
      </c>
      <c r="D16" s="13">
        <f>IF($A16="","",Budgets!C16)</f>
        <v>300</v>
      </c>
      <c r="E16" s="13">
        <f t="shared" si="0"/>
        <v>13.600000000000023</v>
      </c>
      <c r="F16" s="14">
        <f t="shared" si="1"/>
        <v>0.95466666666666655</v>
      </c>
      <c r="G16" s="13">
        <f>IF($A16="","",SUMIFS(Transactions!$F$2:$F$1000,Transactions!$C$2:$C$1000,$B16,Transactions!$B$2:$B$1000,"&gt;="&amp;EDATE($A16,-1),Transactions!$B$2:$B$1000,"&lt;"&amp;$A16))</f>
        <v>112.75</v>
      </c>
      <c r="H16" s="13">
        <f t="shared" si="2"/>
        <v>173.64999999999998</v>
      </c>
      <c r="I16" s="22">
        <f>IF($A16="","",COUNTIFS(Transactions!$C$2:$C$1000,$B16,Transactions!$B$2:$B$1000,"&gt;="&amp;$A16,Transactions!$B$2:$B$1000,"&lt;"&amp;EDATE($A16,1)))</f>
        <v>1</v>
      </c>
    </row>
    <row r="17" spans="1:9" x14ac:dyDescent="0.25">
      <c r="A17" s="20">
        <f>IF(Budgets!A17="","",Budgets!A17)</f>
        <v>46113</v>
      </c>
      <c r="B17" s="21" t="str">
        <f>IF(Budgets!A17="","",Budgets!B17)</f>
        <v>Equipment</v>
      </c>
      <c r="C17" s="13">
        <f>IF($A17="","",SUMIFS(Transactions!$F$2:$F$1000,Transactions!$C$2:$C$1000,$B17,Transactions!$B$2:$B$1000,"&gt;="&amp;$A17,Transactions!$B$2:$B$1000,"&lt;"&amp;EDATE($A17,1)))</f>
        <v>0</v>
      </c>
      <c r="D17" s="13">
        <f>IF($A17="","",Budgets!C17)</f>
        <v>150</v>
      </c>
      <c r="E17" s="13">
        <f t="shared" si="0"/>
        <v>150</v>
      </c>
      <c r="F17" s="14">
        <f t="shared" si="1"/>
        <v>0</v>
      </c>
      <c r="G17" s="13">
        <f>IF($A17="","",SUMIFS(Transactions!$F$2:$F$1000,Transactions!$C$2:$C$1000,$B17,Transactions!$B$2:$B$1000,"&gt;="&amp;EDATE($A17,-1),Transactions!$B$2:$B$1000,"&lt;"&amp;$A17))</f>
        <v>46.5</v>
      </c>
      <c r="H17" s="13">
        <f t="shared" si="2"/>
        <v>-46.5</v>
      </c>
      <c r="I17" s="22">
        <f>IF($A17="","",COUNTIFS(Transactions!$C$2:$C$1000,$B17,Transactions!$B$2:$B$1000,"&gt;="&amp;$A17,Transactions!$B$2:$B$1000,"&lt;"&amp;EDATE($A17,1)))</f>
        <v>0</v>
      </c>
    </row>
    <row r="18" spans="1:9" x14ac:dyDescent="0.25">
      <c r="A18" s="20">
        <f>IF(Budgets!A18="","",Budgets!A18)</f>
        <v>46143</v>
      </c>
      <c r="B18" s="21" t="str">
        <f>IF(Budgets!A18="","",Budgets!B18)</f>
        <v>Facilities</v>
      </c>
      <c r="C18" s="13">
        <f>IF($A18="","",SUMIFS(Transactions!$F$2:$F$1000,Transactions!$C$2:$C$1000,$B18,Transactions!$B$2:$B$1000,"&gt;="&amp;$A18,Transactions!$B$2:$B$1000,"&lt;"&amp;EDATE($A18,1)))</f>
        <v>1358.9</v>
      </c>
      <c r="D18" s="13">
        <f>IF($A18="","",Budgets!C18)</f>
        <v>1500</v>
      </c>
      <c r="E18" s="13">
        <f t="shared" si="0"/>
        <v>141.09999999999991</v>
      </c>
      <c r="F18" s="14">
        <f t="shared" si="1"/>
        <v>0.90593333333333337</v>
      </c>
      <c r="G18" s="13">
        <f>IF($A18="","",SUMIFS(Transactions!$F$2:$F$1000,Transactions!$C$2:$C$1000,$B18,Transactions!$B$2:$B$1000,"&gt;="&amp;EDATE($A18,-1),Transactions!$B$2:$B$1000,"&lt;"&amp;$A18))</f>
        <v>1371.35</v>
      </c>
      <c r="H18" s="13">
        <f t="shared" si="2"/>
        <v>-12.449999999999818</v>
      </c>
      <c r="I18" s="22">
        <f>IF($A18="","",COUNTIFS(Transactions!$C$2:$C$1000,$B18,Transactions!$B$2:$B$1000,"&gt;="&amp;$A18,Transactions!$B$2:$B$1000,"&lt;"&amp;EDATE($A18,1)))</f>
        <v>2</v>
      </c>
    </row>
    <row r="19" spans="1:9" x14ac:dyDescent="0.25">
      <c r="A19" s="20">
        <f>IF(Budgets!A19="","",Budgets!A19)</f>
        <v>46143</v>
      </c>
      <c r="B19" s="21" t="str">
        <f>IF(Budgets!A19="","",Budgets!B19)</f>
        <v>Software</v>
      </c>
      <c r="C19" s="13">
        <f>IF($A19="","",SUMIFS(Transactions!$F$2:$F$1000,Transactions!$C$2:$C$1000,$B19,Transactions!$B$2:$B$1000,"&gt;="&amp;$A19,Transactions!$B$2:$B$1000,"&lt;"&amp;EDATE($A19,1)))</f>
        <v>141.99</v>
      </c>
      <c r="D19" s="13">
        <f>IF($A19="","",Budgets!C19)</f>
        <v>150</v>
      </c>
      <c r="E19" s="13">
        <f t="shared" si="0"/>
        <v>8.0099999999999909</v>
      </c>
      <c r="F19" s="14">
        <f t="shared" si="1"/>
        <v>0.94660000000000011</v>
      </c>
      <c r="G19" s="13">
        <f>IF($A19="","",SUMIFS(Transactions!$F$2:$F$1000,Transactions!$C$2:$C$1000,$B19,Transactions!$B$2:$B$1000,"&gt;="&amp;EDATE($A19,-1),Transactions!$B$2:$B$1000,"&lt;"&amp;$A19))</f>
        <v>141.99</v>
      </c>
      <c r="H19" s="13">
        <f t="shared" si="2"/>
        <v>0</v>
      </c>
      <c r="I19" s="22">
        <f>IF($A19="","",COUNTIFS(Transactions!$C$2:$C$1000,$B19,Transactions!$B$2:$B$1000,"&gt;="&amp;$A19,Transactions!$B$2:$B$1000,"&lt;"&amp;EDATE($A19,1)))</f>
        <v>3</v>
      </c>
    </row>
    <row r="20" spans="1:9" x14ac:dyDescent="0.25">
      <c r="A20" s="20">
        <f>IF(Budgets!A20="","",Budgets!A20)</f>
        <v>46143</v>
      </c>
      <c r="B20" s="21" t="str">
        <f>IF(Budgets!A20="","",Budgets!B20)</f>
        <v>Travel</v>
      </c>
      <c r="C20" s="13">
        <f>IF($A20="","",SUMIFS(Transactions!$F$2:$F$1000,Transactions!$C$2:$C$1000,$B20,Transactions!$B$2:$B$1000,"&gt;="&amp;$A20,Transactions!$B$2:$B$1000,"&lt;"&amp;EDATE($A20,1)))</f>
        <v>212.8</v>
      </c>
      <c r="D20" s="13">
        <f>IF($A20="","",Budgets!C20)</f>
        <v>300</v>
      </c>
      <c r="E20" s="13">
        <f t="shared" si="0"/>
        <v>87.199999999999989</v>
      </c>
      <c r="F20" s="14">
        <f t="shared" si="1"/>
        <v>0.70933333333333337</v>
      </c>
      <c r="G20" s="13">
        <f>IF($A20="","",SUMIFS(Transactions!$F$2:$F$1000,Transactions!$C$2:$C$1000,$B20,Transactions!$B$2:$B$1000,"&gt;="&amp;EDATE($A20,-1),Transactions!$B$2:$B$1000,"&lt;"&amp;$A20))</f>
        <v>286.39999999999998</v>
      </c>
      <c r="H20" s="13">
        <f t="shared" si="2"/>
        <v>-73.599999999999966</v>
      </c>
      <c r="I20" s="22">
        <f>IF($A20="","",COUNTIFS(Transactions!$C$2:$C$1000,$B20,Transactions!$B$2:$B$1000,"&gt;="&amp;$A20,Transactions!$B$2:$B$1000,"&lt;"&amp;EDATE($A20,1)))</f>
        <v>2</v>
      </c>
    </row>
    <row r="21" spans="1:9" x14ac:dyDescent="0.25">
      <c r="A21" s="20">
        <f>IF(Budgets!A21="","",Budgets!A21)</f>
        <v>46143</v>
      </c>
      <c r="B21" s="21" t="str">
        <f>IF(Budgets!A21="","",Budgets!B21)</f>
        <v>Equipment</v>
      </c>
      <c r="C21" s="13">
        <f>IF($A21="","",SUMIFS(Transactions!$F$2:$F$1000,Transactions!$C$2:$C$1000,$B21,Transactions!$B$2:$B$1000,"&gt;="&amp;$A21,Transactions!$B$2:$B$1000,"&lt;"&amp;EDATE($A21,1)))</f>
        <v>190</v>
      </c>
      <c r="D21" s="13">
        <f>IF($A21="","",Budgets!C21)</f>
        <v>150</v>
      </c>
      <c r="E21" s="13">
        <f t="shared" si="0"/>
        <v>-40</v>
      </c>
      <c r="F21" s="14">
        <f t="shared" si="1"/>
        <v>1.2666666666666666</v>
      </c>
      <c r="G21" s="13">
        <f>IF($A21="","",SUMIFS(Transactions!$F$2:$F$1000,Transactions!$C$2:$C$1000,$B21,Transactions!$B$2:$B$1000,"&gt;="&amp;EDATE($A21,-1),Transactions!$B$2:$B$1000,"&lt;"&amp;$A21))</f>
        <v>0</v>
      </c>
      <c r="H21" s="13">
        <f t="shared" si="2"/>
        <v>190</v>
      </c>
      <c r="I21" s="22">
        <f>IF($A21="","",COUNTIFS(Transactions!$C$2:$C$1000,$B21,Transactions!$B$2:$B$1000,"&gt;="&amp;$A21,Transactions!$B$2:$B$1000,"&lt;"&amp;EDATE($A21,1)))</f>
        <v>2</v>
      </c>
    </row>
    <row r="22" spans="1:9" x14ac:dyDescent="0.25">
      <c r="A22" s="20">
        <f>IF(Budgets!A22="","",Budgets!A22)</f>
        <v>46174</v>
      </c>
      <c r="B22" s="21" t="str">
        <f>IF(Budgets!A22="","",Budgets!B22)</f>
        <v>Facilities</v>
      </c>
      <c r="C22" s="13">
        <f>IF($A22="","",SUMIFS(Transactions!$F$2:$F$1000,Transactions!$C$2:$C$1000,$B22,Transactions!$B$2:$B$1000,"&gt;="&amp;$A22,Transactions!$B$2:$B$1000,"&lt;"&amp;EDATE($A22,1)))</f>
        <v>1362.75</v>
      </c>
      <c r="D22" s="13">
        <f>IF($A22="","",Budgets!C22)</f>
        <v>1500</v>
      </c>
      <c r="E22" s="13">
        <f t="shared" si="0"/>
        <v>137.25</v>
      </c>
      <c r="F22" s="14">
        <f t="shared" si="1"/>
        <v>0.90849999999999997</v>
      </c>
      <c r="G22" s="13">
        <f>IF($A22="","",SUMIFS(Transactions!$F$2:$F$1000,Transactions!$C$2:$C$1000,$B22,Transactions!$B$2:$B$1000,"&gt;="&amp;EDATE($A22,-1),Transactions!$B$2:$B$1000,"&lt;"&amp;$A22))</f>
        <v>1358.9</v>
      </c>
      <c r="H22" s="13">
        <f t="shared" si="2"/>
        <v>3.8499999999999091</v>
      </c>
      <c r="I22" s="22">
        <f>IF($A22="","",COUNTIFS(Transactions!$C$2:$C$1000,$B22,Transactions!$B$2:$B$1000,"&gt;="&amp;$A22,Transactions!$B$2:$B$1000,"&lt;"&amp;EDATE($A22,1)))</f>
        <v>2</v>
      </c>
    </row>
    <row r="23" spans="1:9" x14ac:dyDescent="0.25">
      <c r="A23" s="20">
        <f>IF(Budgets!A23="","",Budgets!A23)</f>
        <v>46174</v>
      </c>
      <c r="B23" s="21" t="str">
        <f>IF(Budgets!A23="","",Budgets!B23)</f>
        <v>Software</v>
      </c>
      <c r="C23" s="13">
        <f>IF($A23="","",SUMIFS(Transactions!$F$2:$F$1000,Transactions!$C$2:$C$1000,$B23,Transactions!$B$2:$B$1000,"&gt;="&amp;$A23,Transactions!$B$2:$B$1000,"&lt;"&amp;EDATE($A23,1)))</f>
        <v>141.99</v>
      </c>
      <c r="D23" s="13">
        <f>IF($A23="","",Budgets!C23)</f>
        <v>150</v>
      </c>
      <c r="E23" s="13">
        <f t="shared" si="0"/>
        <v>8.0099999999999909</v>
      </c>
      <c r="F23" s="14">
        <f t="shared" si="1"/>
        <v>0.94660000000000011</v>
      </c>
      <c r="G23" s="13">
        <f>IF($A23="","",SUMIFS(Transactions!$F$2:$F$1000,Transactions!$C$2:$C$1000,$B23,Transactions!$B$2:$B$1000,"&gt;="&amp;EDATE($A23,-1),Transactions!$B$2:$B$1000,"&lt;"&amp;$A23))</f>
        <v>141.99</v>
      </c>
      <c r="H23" s="13">
        <f t="shared" si="2"/>
        <v>0</v>
      </c>
      <c r="I23" s="22">
        <f>IF($A23="","",COUNTIFS(Transactions!$C$2:$C$1000,$B23,Transactions!$B$2:$B$1000,"&gt;="&amp;$A23,Transactions!$B$2:$B$1000,"&lt;"&amp;EDATE($A23,1)))</f>
        <v>3</v>
      </c>
    </row>
    <row r="24" spans="1:9" x14ac:dyDescent="0.25">
      <c r="A24" s="20">
        <f>IF(Budgets!A24="","",Budgets!A24)</f>
        <v>46174</v>
      </c>
      <c r="B24" s="21" t="str">
        <f>IF(Budgets!A24="","",Budgets!B24)</f>
        <v>Travel</v>
      </c>
      <c r="C24" s="13">
        <f>IF($A24="","",SUMIFS(Transactions!$F$2:$F$1000,Transactions!$C$2:$C$1000,$B24,Transactions!$B$2:$B$1000,"&gt;="&amp;$A24,Transactions!$B$2:$B$1000,"&lt;"&amp;EDATE($A24,1)))</f>
        <v>402.1</v>
      </c>
      <c r="D24" s="13">
        <f>IF($A24="","",Budgets!C24)</f>
        <v>300</v>
      </c>
      <c r="E24" s="13">
        <f t="shared" si="0"/>
        <v>-102.10000000000002</v>
      </c>
      <c r="F24" s="14">
        <f t="shared" si="1"/>
        <v>1.3403333333333334</v>
      </c>
      <c r="G24" s="13">
        <f>IF($A24="","",SUMIFS(Transactions!$F$2:$F$1000,Transactions!$C$2:$C$1000,$B24,Transactions!$B$2:$B$1000,"&gt;="&amp;EDATE($A24,-1),Transactions!$B$2:$B$1000,"&lt;"&amp;$A24))</f>
        <v>212.8</v>
      </c>
      <c r="H24" s="13">
        <f t="shared" si="2"/>
        <v>189.3</v>
      </c>
      <c r="I24" s="22">
        <f>IF($A24="","",COUNTIFS(Transactions!$C$2:$C$1000,$B24,Transactions!$B$2:$B$1000,"&gt;="&amp;$A24,Transactions!$B$2:$B$1000,"&lt;"&amp;EDATE($A24,1)))</f>
        <v>1</v>
      </c>
    </row>
    <row r="25" spans="1:9" x14ac:dyDescent="0.25">
      <c r="A25" s="20">
        <f>IF(Budgets!A25="","",Budgets!A25)</f>
        <v>46174</v>
      </c>
      <c r="B25" s="21" t="str">
        <f>IF(Budgets!A25="","",Budgets!B25)</f>
        <v>Equipment</v>
      </c>
      <c r="C25" s="13">
        <f>IF($A25="","",SUMIFS(Transactions!$F$2:$F$1000,Transactions!$C$2:$C$1000,$B25,Transactions!$B$2:$B$1000,"&gt;="&amp;$A25,Transactions!$B$2:$B$1000,"&lt;"&amp;EDATE($A25,1)))</f>
        <v>-118</v>
      </c>
      <c r="D25" s="13">
        <f>IF($A25="","",Budgets!C25)</f>
        <v>150</v>
      </c>
      <c r="E25" s="13">
        <f t="shared" si="0"/>
        <v>268</v>
      </c>
      <c r="F25" s="14">
        <f t="shared" si="1"/>
        <v>-0.78666666666666663</v>
      </c>
      <c r="G25" s="13">
        <f>IF($A25="","",SUMIFS(Transactions!$F$2:$F$1000,Transactions!$C$2:$C$1000,$B25,Transactions!$B$2:$B$1000,"&gt;="&amp;EDATE($A25,-1),Transactions!$B$2:$B$1000,"&lt;"&amp;$A25))</f>
        <v>190</v>
      </c>
      <c r="H25" s="13">
        <f t="shared" si="2"/>
        <v>-308</v>
      </c>
      <c r="I25" s="22">
        <f>IF($A25="","",COUNTIFS(Transactions!$C$2:$C$1000,$B25,Transactions!$B$2:$B$1000,"&gt;="&amp;$A25,Transactions!$B$2:$B$1000,"&lt;"&amp;EDATE($A25,1)))</f>
        <v>1</v>
      </c>
    </row>
    <row r="26" spans="1:9" x14ac:dyDescent="0.25">
      <c r="A26" s="20" t="str">
        <f>IF(Budgets!A26="","",Budgets!A26)</f>
        <v/>
      </c>
      <c r="B26" s="21" t="str">
        <f>IF(Budgets!A26="","",Budgets!B26)</f>
        <v/>
      </c>
      <c r="C26" s="13" t="str">
        <f>IF($A26="","",SUMIFS(Transactions!$F$2:$F$1000,Transactions!$C$2:$C$1000,$B26,Transactions!$B$2:$B$1000,"&gt;="&amp;$A26,Transactions!$B$2:$B$1000,"&lt;"&amp;EDATE($A26,1)))</f>
        <v/>
      </c>
      <c r="D26" s="13" t="str">
        <f>IF($A26="","",Budgets!C26)</f>
        <v/>
      </c>
      <c r="E26" s="13" t="str">
        <f t="shared" si="0"/>
        <v/>
      </c>
      <c r="F26" s="14" t="str">
        <f t="shared" si="1"/>
        <v/>
      </c>
      <c r="G26" s="13" t="str">
        <f>IF($A26="","",SUMIFS(Transactions!$F$2:$F$1000,Transactions!$C$2:$C$1000,$B26,Transactions!$B$2:$B$1000,"&gt;="&amp;EDATE($A26,-1),Transactions!$B$2:$B$1000,"&lt;"&amp;$A26))</f>
        <v/>
      </c>
      <c r="H26" s="13" t="str">
        <f t="shared" si="2"/>
        <v/>
      </c>
      <c r="I26" s="22" t="str">
        <f>IF($A26="","",COUNTIFS(Transactions!$C$2:$C$1000,$B26,Transactions!$B$2:$B$1000,"&gt;="&amp;$A26,Transactions!$B$2:$B$1000,"&lt;"&amp;EDATE($A26,1)))</f>
        <v/>
      </c>
    </row>
    <row r="27" spans="1:9" x14ac:dyDescent="0.25">
      <c r="A27" s="20" t="str">
        <f>IF(Budgets!A27="","",Budgets!A27)</f>
        <v/>
      </c>
      <c r="B27" s="21" t="str">
        <f>IF(Budgets!A27="","",Budgets!B27)</f>
        <v/>
      </c>
      <c r="C27" s="13" t="str">
        <f>IF($A27="","",SUMIFS(Transactions!$F$2:$F$1000,Transactions!$C$2:$C$1000,$B27,Transactions!$B$2:$B$1000,"&gt;="&amp;$A27,Transactions!$B$2:$B$1000,"&lt;"&amp;EDATE($A27,1)))</f>
        <v/>
      </c>
      <c r="D27" s="13" t="str">
        <f>IF($A27="","",Budgets!C27)</f>
        <v/>
      </c>
      <c r="E27" s="13" t="str">
        <f t="shared" si="0"/>
        <v/>
      </c>
      <c r="F27" s="14" t="str">
        <f t="shared" si="1"/>
        <v/>
      </c>
      <c r="G27" s="13" t="str">
        <f>IF($A27="","",SUMIFS(Transactions!$F$2:$F$1000,Transactions!$C$2:$C$1000,$B27,Transactions!$B$2:$B$1000,"&gt;="&amp;EDATE($A27,-1),Transactions!$B$2:$B$1000,"&lt;"&amp;$A27))</f>
        <v/>
      </c>
      <c r="H27" s="13" t="str">
        <f t="shared" si="2"/>
        <v/>
      </c>
      <c r="I27" s="22" t="str">
        <f>IF($A27="","",COUNTIFS(Transactions!$C$2:$C$1000,$B27,Transactions!$B$2:$B$1000,"&gt;="&amp;$A27,Transactions!$B$2:$B$1000,"&lt;"&amp;EDATE($A27,1)))</f>
        <v/>
      </c>
    </row>
    <row r="28" spans="1:9" x14ac:dyDescent="0.25">
      <c r="A28" s="20" t="str">
        <f>IF(Budgets!A28="","",Budgets!A28)</f>
        <v/>
      </c>
      <c r="B28" s="21" t="str">
        <f>IF(Budgets!A28="","",Budgets!B28)</f>
        <v/>
      </c>
      <c r="C28" s="13" t="str">
        <f>IF($A28="","",SUMIFS(Transactions!$F$2:$F$1000,Transactions!$C$2:$C$1000,$B28,Transactions!$B$2:$B$1000,"&gt;="&amp;$A28,Transactions!$B$2:$B$1000,"&lt;"&amp;EDATE($A28,1)))</f>
        <v/>
      </c>
      <c r="D28" s="13" t="str">
        <f>IF($A28="","",Budgets!C28)</f>
        <v/>
      </c>
      <c r="E28" s="13" t="str">
        <f t="shared" si="0"/>
        <v/>
      </c>
      <c r="F28" s="14" t="str">
        <f t="shared" si="1"/>
        <v/>
      </c>
      <c r="G28" s="13" t="str">
        <f>IF($A28="","",SUMIFS(Transactions!$F$2:$F$1000,Transactions!$C$2:$C$1000,$B28,Transactions!$B$2:$B$1000,"&gt;="&amp;EDATE($A28,-1),Transactions!$B$2:$B$1000,"&lt;"&amp;$A28))</f>
        <v/>
      </c>
      <c r="H28" s="13" t="str">
        <f t="shared" si="2"/>
        <v/>
      </c>
      <c r="I28" s="22" t="str">
        <f>IF($A28="","",COUNTIFS(Transactions!$C$2:$C$1000,$B28,Transactions!$B$2:$B$1000,"&gt;="&amp;$A28,Transactions!$B$2:$B$1000,"&lt;"&amp;EDATE($A28,1)))</f>
        <v/>
      </c>
    </row>
    <row r="29" spans="1:9" x14ac:dyDescent="0.25">
      <c r="A29" s="20" t="str">
        <f>IF(Budgets!A29="","",Budgets!A29)</f>
        <v/>
      </c>
      <c r="B29" s="21" t="str">
        <f>IF(Budgets!A29="","",Budgets!B29)</f>
        <v/>
      </c>
      <c r="C29" s="13" t="str">
        <f>IF($A29="","",SUMIFS(Transactions!$F$2:$F$1000,Transactions!$C$2:$C$1000,$B29,Transactions!$B$2:$B$1000,"&gt;="&amp;$A29,Transactions!$B$2:$B$1000,"&lt;"&amp;EDATE($A29,1)))</f>
        <v/>
      </c>
      <c r="D29" s="13" t="str">
        <f>IF($A29="","",Budgets!C29)</f>
        <v/>
      </c>
      <c r="E29" s="13" t="str">
        <f t="shared" si="0"/>
        <v/>
      </c>
      <c r="F29" s="14" t="str">
        <f t="shared" si="1"/>
        <v/>
      </c>
      <c r="G29" s="13" t="str">
        <f>IF($A29="","",SUMIFS(Transactions!$F$2:$F$1000,Transactions!$C$2:$C$1000,$B29,Transactions!$B$2:$B$1000,"&gt;="&amp;EDATE($A29,-1),Transactions!$B$2:$B$1000,"&lt;"&amp;$A29))</f>
        <v/>
      </c>
      <c r="H29" s="13" t="str">
        <f t="shared" si="2"/>
        <v/>
      </c>
      <c r="I29" s="22" t="str">
        <f>IF($A29="","",COUNTIFS(Transactions!$C$2:$C$1000,$B29,Transactions!$B$2:$B$1000,"&gt;="&amp;$A29,Transactions!$B$2:$B$1000,"&lt;"&amp;EDATE($A29,1)))</f>
        <v/>
      </c>
    </row>
    <row r="30" spans="1:9" x14ac:dyDescent="0.25">
      <c r="A30" s="20" t="str">
        <f>IF(Budgets!A30="","",Budgets!A30)</f>
        <v/>
      </c>
      <c r="B30" s="21" t="str">
        <f>IF(Budgets!A30="","",Budgets!B30)</f>
        <v/>
      </c>
      <c r="C30" s="13" t="str">
        <f>IF($A30="","",SUMIFS(Transactions!$F$2:$F$1000,Transactions!$C$2:$C$1000,$B30,Transactions!$B$2:$B$1000,"&gt;="&amp;$A30,Transactions!$B$2:$B$1000,"&lt;"&amp;EDATE($A30,1)))</f>
        <v/>
      </c>
      <c r="D30" s="13" t="str">
        <f>IF($A30="","",Budgets!C30)</f>
        <v/>
      </c>
      <c r="E30" s="13" t="str">
        <f t="shared" si="0"/>
        <v/>
      </c>
      <c r="F30" s="14" t="str">
        <f t="shared" si="1"/>
        <v/>
      </c>
      <c r="G30" s="13" t="str">
        <f>IF($A30="","",SUMIFS(Transactions!$F$2:$F$1000,Transactions!$C$2:$C$1000,$B30,Transactions!$B$2:$B$1000,"&gt;="&amp;EDATE($A30,-1),Transactions!$B$2:$B$1000,"&lt;"&amp;$A30))</f>
        <v/>
      </c>
      <c r="H30" s="13" t="str">
        <f t="shared" si="2"/>
        <v/>
      </c>
      <c r="I30" s="22" t="str">
        <f>IF($A30="","",COUNTIFS(Transactions!$C$2:$C$1000,$B30,Transactions!$B$2:$B$1000,"&gt;="&amp;$A30,Transactions!$B$2:$B$1000,"&lt;"&amp;EDATE($A30,1)))</f>
        <v/>
      </c>
    </row>
    <row r="31" spans="1:9" x14ac:dyDescent="0.25">
      <c r="A31" s="20" t="str">
        <f>IF(Budgets!A31="","",Budgets!A31)</f>
        <v/>
      </c>
      <c r="B31" s="21" t="str">
        <f>IF(Budgets!A31="","",Budgets!B31)</f>
        <v/>
      </c>
      <c r="C31" s="13" t="str">
        <f>IF($A31="","",SUMIFS(Transactions!$F$2:$F$1000,Transactions!$C$2:$C$1000,$B31,Transactions!$B$2:$B$1000,"&gt;="&amp;$A31,Transactions!$B$2:$B$1000,"&lt;"&amp;EDATE($A31,1)))</f>
        <v/>
      </c>
      <c r="D31" s="13" t="str">
        <f>IF($A31="","",Budgets!C31)</f>
        <v/>
      </c>
      <c r="E31" s="13" t="str">
        <f t="shared" si="0"/>
        <v/>
      </c>
      <c r="F31" s="14" t="str">
        <f t="shared" si="1"/>
        <v/>
      </c>
      <c r="G31" s="13" t="str">
        <f>IF($A31="","",SUMIFS(Transactions!$F$2:$F$1000,Transactions!$C$2:$C$1000,$B31,Transactions!$B$2:$B$1000,"&gt;="&amp;EDATE($A31,-1),Transactions!$B$2:$B$1000,"&lt;"&amp;$A31))</f>
        <v/>
      </c>
      <c r="H31" s="13" t="str">
        <f t="shared" si="2"/>
        <v/>
      </c>
      <c r="I31" s="22" t="str">
        <f>IF($A31="","",COUNTIFS(Transactions!$C$2:$C$1000,$B31,Transactions!$B$2:$B$1000,"&gt;="&amp;$A31,Transactions!$B$2:$B$1000,"&lt;"&amp;EDATE($A31,1)))</f>
        <v/>
      </c>
    </row>
    <row r="32" spans="1:9" x14ac:dyDescent="0.25">
      <c r="A32" s="20" t="str">
        <f>IF(Budgets!A32="","",Budgets!A32)</f>
        <v/>
      </c>
      <c r="B32" s="21" t="str">
        <f>IF(Budgets!A32="","",Budgets!B32)</f>
        <v/>
      </c>
      <c r="C32" s="13" t="str">
        <f>IF($A32="","",SUMIFS(Transactions!$F$2:$F$1000,Transactions!$C$2:$C$1000,$B32,Transactions!$B$2:$B$1000,"&gt;="&amp;$A32,Transactions!$B$2:$B$1000,"&lt;"&amp;EDATE($A32,1)))</f>
        <v/>
      </c>
      <c r="D32" s="13" t="str">
        <f>IF($A32="","",Budgets!C32)</f>
        <v/>
      </c>
      <c r="E32" s="13" t="str">
        <f t="shared" si="0"/>
        <v/>
      </c>
      <c r="F32" s="14" t="str">
        <f t="shared" si="1"/>
        <v/>
      </c>
      <c r="G32" s="13" t="str">
        <f>IF($A32="","",SUMIFS(Transactions!$F$2:$F$1000,Transactions!$C$2:$C$1000,$B32,Transactions!$B$2:$B$1000,"&gt;="&amp;EDATE($A32,-1),Transactions!$B$2:$B$1000,"&lt;"&amp;$A32))</f>
        <v/>
      </c>
      <c r="H32" s="13" t="str">
        <f t="shared" si="2"/>
        <v/>
      </c>
      <c r="I32" s="22" t="str">
        <f>IF($A32="","",COUNTIFS(Transactions!$C$2:$C$1000,$B32,Transactions!$B$2:$B$1000,"&gt;="&amp;$A32,Transactions!$B$2:$B$1000,"&lt;"&amp;EDATE($A32,1)))</f>
        <v/>
      </c>
    </row>
    <row r="33" spans="1:9" x14ac:dyDescent="0.25">
      <c r="A33" s="20" t="str">
        <f>IF(Budgets!A33="","",Budgets!A33)</f>
        <v/>
      </c>
      <c r="B33" s="21" t="str">
        <f>IF(Budgets!A33="","",Budgets!B33)</f>
        <v/>
      </c>
      <c r="C33" s="13" t="str">
        <f>IF($A33="","",SUMIFS(Transactions!$F$2:$F$1000,Transactions!$C$2:$C$1000,$B33,Transactions!$B$2:$B$1000,"&gt;="&amp;$A33,Transactions!$B$2:$B$1000,"&lt;"&amp;EDATE($A33,1)))</f>
        <v/>
      </c>
      <c r="D33" s="13" t="str">
        <f>IF($A33="","",Budgets!C33)</f>
        <v/>
      </c>
      <c r="E33" s="13" t="str">
        <f t="shared" si="0"/>
        <v/>
      </c>
      <c r="F33" s="14" t="str">
        <f t="shared" si="1"/>
        <v/>
      </c>
      <c r="G33" s="13" t="str">
        <f>IF($A33="","",SUMIFS(Transactions!$F$2:$F$1000,Transactions!$C$2:$C$1000,$B33,Transactions!$B$2:$B$1000,"&gt;="&amp;EDATE($A33,-1),Transactions!$B$2:$B$1000,"&lt;"&amp;$A33))</f>
        <v/>
      </c>
      <c r="H33" s="13" t="str">
        <f t="shared" si="2"/>
        <v/>
      </c>
      <c r="I33" s="22" t="str">
        <f>IF($A33="","",COUNTIFS(Transactions!$C$2:$C$1000,$B33,Transactions!$B$2:$B$1000,"&gt;="&amp;$A33,Transactions!$B$2:$B$1000,"&lt;"&amp;EDATE($A33,1)))</f>
        <v/>
      </c>
    </row>
    <row r="34" spans="1:9" x14ac:dyDescent="0.25">
      <c r="A34" s="20" t="str">
        <f>IF(Budgets!A34="","",Budgets!A34)</f>
        <v/>
      </c>
      <c r="B34" s="21" t="str">
        <f>IF(Budgets!A34="","",Budgets!B34)</f>
        <v/>
      </c>
      <c r="C34" s="13" t="str">
        <f>IF($A34="","",SUMIFS(Transactions!$F$2:$F$1000,Transactions!$C$2:$C$1000,$B34,Transactions!$B$2:$B$1000,"&gt;="&amp;$A34,Transactions!$B$2:$B$1000,"&lt;"&amp;EDATE($A34,1)))</f>
        <v/>
      </c>
      <c r="D34" s="13" t="str">
        <f>IF($A34="","",Budgets!C34)</f>
        <v/>
      </c>
      <c r="E34" s="13" t="str">
        <f t="shared" si="0"/>
        <v/>
      </c>
      <c r="F34" s="14" t="str">
        <f t="shared" si="1"/>
        <v/>
      </c>
      <c r="G34" s="13" t="str">
        <f>IF($A34="","",SUMIFS(Transactions!$F$2:$F$1000,Transactions!$C$2:$C$1000,$B34,Transactions!$B$2:$B$1000,"&gt;="&amp;EDATE($A34,-1),Transactions!$B$2:$B$1000,"&lt;"&amp;$A34))</f>
        <v/>
      </c>
      <c r="H34" s="13" t="str">
        <f t="shared" si="2"/>
        <v/>
      </c>
      <c r="I34" s="22" t="str">
        <f>IF($A34="","",COUNTIFS(Transactions!$C$2:$C$1000,$B34,Transactions!$B$2:$B$1000,"&gt;="&amp;$A34,Transactions!$B$2:$B$1000,"&lt;"&amp;EDATE($A34,1)))</f>
        <v/>
      </c>
    </row>
    <row r="35" spans="1:9" x14ac:dyDescent="0.25">
      <c r="A35" s="20" t="str">
        <f>IF(Budgets!A35="","",Budgets!A35)</f>
        <v/>
      </c>
      <c r="B35" s="21" t="str">
        <f>IF(Budgets!A35="","",Budgets!B35)</f>
        <v/>
      </c>
      <c r="C35" s="13" t="str">
        <f>IF($A35="","",SUMIFS(Transactions!$F$2:$F$1000,Transactions!$C$2:$C$1000,$B35,Transactions!$B$2:$B$1000,"&gt;="&amp;$A35,Transactions!$B$2:$B$1000,"&lt;"&amp;EDATE($A35,1)))</f>
        <v/>
      </c>
      <c r="D35" s="13" t="str">
        <f>IF($A35="","",Budgets!C35)</f>
        <v/>
      </c>
      <c r="E35" s="13" t="str">
        <f t="shared" si="0"/>
        <v/>
      </c>
      <c r="F35" s="14" t="str">
        <f t="shared" si="1"/>
        <v/>
      </c>
      <c r="G35" s="13" t="str">
        <f>IF($A35="","",SUMIFS(Transactions!$F$2:$F$1000,Transactions!$C$2:$C$1000,$B35,Transactions!$B$2:$B$1000,"&gt;="&amp;EDATE($A35,-1),Transactions!$B$2:$B$1000,"&lt;"&amp;$A35))</f>
        <v/>
      </c>
      <c r="H35" s="13" t="str">
        <f t="shared" si="2"/>
        <v/>
      </c>
      <c r="I35" s="22" t="str">
        <f>IF($A35="","",COUNTIFS(Transactions!$C$2:$C$1000,$B35,Transactions!$B$2:$B$1000,"&gt;="&amp;$A35,Transactions!$B$2:$B$1000,"&lt;"&amp;EDATE($A35,1)))</f>
        <v/>
      </c>
    </row>
    <row r="36" spans="1:9" x14ac:dyDescent="0.25">
      <c r="A36" s="20" t="str">
        <f>IF(Budgets!A36="","",Budgets!A36)</f>
        <v/>
      </c>
      <c r="B36" s="21" t="str">
        <f>IF(Budgets!A36="","",Budgets!B36)</f>
        <v/>
      </c>
      <c r="C36" s="13" t="str">
        <f>IF($A36="","",SUMIFS(Transactions!$F$2:$F$1000,Transactions!$C$2:$C$1000,$B36,Transactions!$B$2:$B$1000,"&gt;="&amp;$A36,Transactions!$B$2:$B$1000,"&lt;"&amp;EDATE($A36,1)))</f>
        <v/>
      </c>
      <c r="D36" s="13" t="str">
        <f>IF($A36="","",Budgets!C36)</f>
        <v/>
      </c>
      <c r="E36" s="13" t="str">
        <f t="shared" si="0"/>
        <v/>
      </c>
      <c r="F36" s="14" t="str">
        <f t="shared" si="1"/>
        <v/>
      </c>
      <c r="G36" s="13" t="str">
        <f>IF($A36="","",SUMIFS(Transactions!$F$2:$F$1000,Transactions!$C$2:$C$1000,$B36,Transactions!$B$2:$B$1000,"&gt;="&amp;EDATE($A36,-1),Transactions!$B$2:$B$1000,"&lt;"&amp;$A36))</f>
        <v/>
      </c>
      <c r="H36" s="13" t="str">
        <f t="shared" si="2"/>
        <v/>
      </c>
      <c r="I36" s="22" t="str">
        <f>IF($A36="","",COUNTIFS(Transactions!$C$2:$C$1000,$B36,Transactions!$B$2:$B$1000,"&gt;="&amp;$A36,Transactions!$B$2:$B$1000,"&lt;"&amp;EDATE($A36,1)))</f>
        <v/>
      </c>
    </row>
    <row r="37" spans="1:9" x14ac:dyDescent="0.25">
      <c r="A37" s="20" t="str">
        <f>IF(Budgets!A37="","",Budgets!A37)</f>
        <v/>
      </c>
      <c r="B37" s="21" t="str">
        <f>IF(Budgets!A37="","",Budgets!B37)</f>
        <v/>
      </c>
      <c r="C37" s="13" t="str">
        <f>IF($A37="","",SUMIFS(Transactions!$F$2:$F$1000,Transactions!$C$2:$C$1000,$B37,Transactions!$B$2:$B$1000,"&gt;="&amp;$A37,Transactions!$B$2:$B$1000,"&lt;"&amp;EDATE($A37,1)))</f>
        <v/>
      </c>
      <c r="D37" s="13" t="str">
        <f>IF($A37="","",Budgets!C37)</f>
        <v/>
      </c>
      <c r="E37" s="13" t="str">
        <f t="shared" si="0"/>
        <v/>
      </c>
      <c r="F37" s="14" t="str">
        <f t="shared" si="1"/>
        <v/>
      </c>
      <c r="G37" s="13" t="str">
        <f>IF($A37="","",SUMIFS(Transactions!$F$2:$F$1000,Transactions!$C$2:$C$1000,$B37,Transactions!$B$2:$B$1000,"&gt;="&amp;EDATE($A37,-1),Transactions!$B$2:$B$1000,"&lt;"&amp;$A37))</f>
        <v/>
      </c>
      <c r="H37" s="13" t="str">
        <f t="shared" si="2"/>
        <v/>
      </c>
      <c r="I37" s="22" t="str">
        <f>IF($A37="","",COUNTIFS(Transactions!$C$2:$C$1000,$B37,Transactions!$B$2:$B$1000,"&gt;="&amp;$A37,Transactions!$B$2:$B$1000,"&lt;"&amp;EDATE($A37,1)))</f>
        <v/>
      </c>
    </row>
    <row r="38" spans="1:9" x14ac:dyDescent="0.25">
      <c r="A38" s="20" t="str">
        <f>IF(Budgets!A38="","",Budgets!A38)</f>
        <v/>
      </c>
      <c r="B38" s="21" t="str">
        <f>IF(Budgets!A38="","",Budgets!B38)</f>
        <v/>
      </c>
      <c r="C38" s="13" t="str">
        <f>IF($A38="","",SUMIFS(Transactions!$F$2:$F$1000,Transactions!$C$2:$C$1000,$B38,Transactions!$B$2:$B$1000,"&gt;="&amp;$A38,Transactions!$B$2:$B$1000,"&lt;"&amp;EDATE($A38,1)))</f>
        <v/>
      </c>
      <c r="D38" s="13" t="str">
        <f>IF($A38="","",Budgets!C38)</f>
        <v/>
      </c>
      <c r="E38" s="13" t="str">
        <f t="shared" si="0"/>
        <v/>
      </c>
      <c r="F38" s="14" t="str">
        <f t="shared" si="1"/>
        <v/>
      </c>
      <c r="G38" s="13" t="str">
        <f>IF($A38="","",SUMIFS(Transactions!$F$2:$F$1000,Transactions!$C$2:$C$1000,$B38,Transactions!$B$2:$B$1000,"&gt;="&amp;EDATE($A38,-1),Transactions!$B$2:$B$1000,"&lt;"&amp;$A38))</f>
        <v/>
      </c>
      <c r="H38" s="13" t="str">
        <f t="shared" si="2"/>
        <v/>
      </c>
      <c r="I38" s="22" t="str">
        <f>IF($A38="","",COUNTIFS(Transactions!$C$2:$C$1000,$B38,Transactions!$B$2:$B$1000,"&gt;="&amp;$A38,Transactions!$B$2:$B$1000,"&lt;"&amp;EDATE($A38,1)))</f>
        <v/>
      </c>
    </row>
    <row r="39" spans="1:9" x14ac:dyDescent="0.25">
      <c r="A39" s="20" t="str">
        <f>IF(Budgets!A39="","",Budgets!A39)</f>
        <v/>
      </c>
      <c r="B39" s="21" t="str">
        <f>IF(Budgets!A39="","",Budgets!B39)</f>
        <v/>
      </c>
      <c r="C39" s="13" t="str">
        <f>IF($A39="","",SUMIFS(Transactions!$F$2:$F$1000,Transactions!$C$2:$C$1000,$B39,Transactions!$B$2:$B$1000,"&gt;="&amp;$A39,Transactions!$B$2:$B$1000,"&lt;"&amp;EDATE($A39,1)))</f>
        <v/>
      </c>
      <c r="D39" s="13" t="str">
        <f>IF($A39="","",Budgets!C39)</f>
        <v/>
      </c>
      <c r="E39" s="13" t="str">
        <f t="shared" si="0"/>
        <v/>
      </c>
      <c r="F39" s="14" t="str">
        <f t="shared" si="1"/>
        <v/>
      </c>
      <c r="G39" s="13" t="str">
        <f>IF($A39="","",SUMIFS(Transactions!$F$2:$F$1000,Transactions!$C$2:$C$1000,$B39,Transactions!$B$2:$B$1000,"&gt;="&amp;EDATE($A39,-1),Transactions!$B$2:$B$1000,"&lt;"&amp;$A39))</f>
        <v/>
      </c>
      <c r="H39" s="13" t="str">
        <f t="shared" si="2"/>
        <v/>
      </c>
      <c r="I39" s="22" t="str">
        <f>IF($A39="","",COUNTIFS(Transactions!$C$2:$C$1000,$B39,Transactions!$B$2:$B$1000,"&gt;="&amp;$A39,Transactions!$B$2:$B$1000,"&lt;"&amp;EDATE($A39,1)))</f>
        <v/>
      </c>
    </row>
    <row r="40" spans="1:9" x14ac:dyDescent="0.25">
      <c r="A40" s="20" t="str">
        <f>IF(Budgets!A40="","",Budgets!A40)</f>
        <v/>
      </c>
      <c r="B40" s="21" t="str">
        <f>IF(Budgets!A40="","",Budgets!B40)</f>
        <v/>
      </c>
      <c r="C40" s="13" t="str">
        <f>IF($A40="","",SUMIFS(Transactions!$F$2:$F$1000,Transactions!$C$2:$C$1000,$B40,Transactions!$B$2:$B$1000,"&gt;="&amp;$A40,Transactions!$B$2:$B$1000,"&lt;"&amp;EDATE($A40,1)))</f>
        <v/>
      </c>
      <c r="D40" s="13" t="str">
        <f>IF($A40="","",Budgets!C40)</f>
        <v/>
      </c>
      <c r="E40" s="13" t="str">
        <f t="shared" si="0"/>
        <v/>
      </c>
      <c r="F40" s="14" t="str">
        <f t="shared" si="1"/>
        <v/>
      </c>
      <c r="G40" s="13" t="str">
        <f>IF($A40="","",SUMIFS(Transactions!$F$2:$F$1000,Transactions!$C$2:$C$1000,$B40,Transactions!$B$2:$B$1000,"&gt;="&amp;EDATE($A40,-1),Transactions!$B$2:$B$1000,"&lt;"&amp;$A40))</f>
        <v/>
      </c>
      <c r="H40" s="13" t="str">
        <f t="shared" si="2"/>
        <v/>
      </c>
      <c r="I40" s="22" t="str">
        <f>IF($A40="","",COUNTIFS(Transactions!$C$2:$C$1000,$B40,Transactions!$B$2:$B$1000,"&gt;="&amp;$A40,Transactions!$B$2:$B$1000,"&lt;"&amp;EDATE($A40,1)))</f>
        <v/>
      </c>
    </row>
    <row r="41" spans="1:9" x14ac:dyDescent="0.25">
      <c r="A41" s="20" t="str">
        <f>IF(Budgets!A41="","",Budgets!A41)</f>
        <v/>
      </c>
      <c r="B41" s="21" t="str">
        <f>IF(Budgets!A41="","",Budgets!B41)</f>
        <v/>
      </c>
      <c r="C41" s="13" t="str">
        <f>IF($A41="","",SUMIFS(Transactions!$F$2:$F$1000,Transactions!$C$2:$C$1000,$B41,Transactions!$B$2:$B$1000,"&gt;="&amp;$A41,Transactions!$B$2:$B$1000,"&lt;"&amp;EDATE($A41,1)))</f>
        <v/>
      </c>
      <c r="D41" s="13" t="str">
        <f>IF($A41="","",Budgets!C41)</f>
        <v/>
      </c>
      <c r="E41" s="13" t="str">
        <f t="shared" si="0"/>
        <v/>
      </c>
      <c r="F41" s="14" t="str">
        <f t="shared" si="1"/>
        <v/>
      </c>
      <c r="G41" s="13" t="str">
        <f>IF($A41="","",SUMIFS(Transactions!$F$2:$F$1000,Transactions!$C$2:$C$1000,$B41,Transactions!$B$2:$B$1000,"&gt;="&amp;EDATE($A41,-1),Transactions!$B$2:$B$1000,"&lt;"&amp;$A41))</f>
        <v/>
      </c>
      <c r="H41" s="13" t="str">
        <f t="shared" si="2"/>
        <v/>
      </c>
      <c r="I41" s="22" t="str">
        <f>IF($A41="","",COUNTIFS(Transactions!$C$2:$C$1000,$B41,Transactions!$B$2:$B$1000,"&gt;="&amp;$A41,Transactions!$B$2:$B$1000,"&lt;"&amp;EDATE($A41,1)))</f>
        <v/>
      </c>
    </row>
    <row r="42" spans="1:9" x14ac:dyDescent="0.25">
      <c r="A42" s="20" t="str">
        <f>IF(Budgets!A42="","",Budgets!A42)</f>
        <v/>
      </c>
      <c r="B42" s="21" t="str">
        <f>IF(Budgets!A42="","",Budgets!B42)</f>
        <v/>
      </c>
      <c r="C42" s="13" t="str">
        <f>IF($A42="","",SUMIFS(Transactions!$F$2:$F$1000,Transactions!$C$2:$C$1000,$B42,Transactions!$B$2:$B$1000,"&gt;="&amp;$A42,Transactions!$B$2:$B$1000,"&lt;"&amp;EDATE($A42,1)))</f>
        <v/>
      </c>
      <c r="D42" s="13" t="str">
        <f>IF($A42="","",Budgets!C42)</f>
        <v/>
      </c>
      <c r="E42" s="13" t="str">
        <f t="shared" si="0"/>
        <v/>
      </c>
      <c r="F42" s="14" t="str">
        <f t="shared" si="1"/>
        <v/>
      </c>
      <c r="G42" s="13" t="str">
        <f>IF($A42="","",SUMIFS(Transactions!$F$2:$F$1000,Transactions!$C$2:$C$1000,$B42,Transactions!$B$2:$B$1000,"&gt;="&amp;EDATE($A42,-1),Transactions!$B$2:$B$1000,"&lt;"&amp;$A42))</f>
        <v/>
      </c>
      <c r="H42" s="13" t="str">
        <f t="shared" si="2"/>
        <v/>
      </c>
      <c r="I42" s="22" t="str">
        <f>IF($A42="","",COUNTIFS(Transactions!$C$2:$C$1000,$B42,Transactions!$B$2:$B$1000,"&gt;="&amp;$A42,Transactions!$B$2:$B$1000,"&lt;"&amp;EDATE($A42,1)))</f>
        <v/>
      </c>
    </row>
    <row r="43" spans="1:9" x14ac:dyDescent="0.25">
      <c r="A43" s="20" t="str">
        <f>IF(Budgets!A43="","",Budgets!A43)</f>
        <v/>
      </c>
      <c r="B43" s="21" t="str">
        <f>IF(Budgets!A43="","",Budgets!B43)</f>
        <v/>
      </c>
      <c r="C43" s="13" t="str">
        <f>IF($A43="","",SUMIFS(Transactions!$F$2:$F$1000,Transactions!$C$2:$C$1000,$B43,Transactions!$B$2:$B$1000,"&gt;="&amp;$A43,Transactions!$B$2:$B$1000,"&lt;"&amp;EDATE($A43,1)))</f>
        <v/>
      </c>
      <c r="D43" s="13" t="str">
        <f>IF($A43="","",Budgets!C43)</f>
        <v/>
      </c>
      <c r="E43" s="13" t="str">
        <f t="shared" si="0"/>
        <v/>
      </c>
      <c r="F43" s="14" t="str">
        <f t="shared" si="1"/>
        <v/>
      </c>
      <c r="G43" s="13" t="str">
        <f>IF($A43="","",SUMIFS(Transactions!$F$2:$F$1000,Transactions!$C$2:$C$1000,$B43,Transactions!$B$2:$B$1000,"&gt;="&amp;EDATE($A43,-1),Transactions!$B$2:$B$1000,"&lt;"&amp;$A43))</f>
        <v/>
      </c>
      <c r="H43" s="13" t="str">
        <f t="shared" si="2"/>
        <v/>
      </c>
      <c r="I43" s="22" t="str">
        <f>IF($A43="","",COUNTIFS(Transactions!$C$2:$C$1000,$B43,Transactions!$B$2:$B$1000,"&gt;="&amp;$A43,Transactions!$B$2:$B$1000,"&lt;"&amp;EDATE($A43,1)))</f>
        <v/>
      </c>
    </row>
    <row r="44" spans="1:9" x14ac:dyDescent="0.25">
      <c r="A44" s="20" t="str">
        <f>IF(Budgets!A44="","",Budgets!A44)</f>
        <v/>
      </c>
      <c r="B44" s="21" t="str">
        <f>IF(Budgets!A44="","",Budgets!B44)</f>
        <v/>
      </c>
      <c r="C44" s="13" t="str">
        <f>IF($A44="","",SUMIFS(Transactions!$F$2:$F$1000,Transactions!$C$2:$C$1000,$B44,Transactions!$B$2:$B$1000,"&gt;="&amp;$A44,Transactions!$B$2:$B$1000,"&lt;"&amp;EDATE($A44,1)))</f>
        <v/>
      </c>
      <c r="D44" s="13" t="str">
        <f>IF($A44="","",Budgets!C44)</f>
        <v/>
      </c>
      <c r="E44" s="13" t="str">
        <f t="shared" si="0"/>
        <v/>
      </c>
      <c r="F44" s="14" t="str">
        <f t="shared" si="1"/>
        <v/>
      </c>
      <c r="G44" s="13" t="str">
        <f>IF($A44="","",SUMIFS(Transactions!$F$2:$F$1000,Transactions!$C$2:$C$1000,$B44,Transactions!$B$2:$B$1000,"&gt;="&amp;EDATE($A44,-1),Transactions!$B$2:$B$1000,"&lt;"&amp;$A44))</f>
        <v/>
      </c>
      <c r="H44" s="13" t="str">
        <f t="shared" si="2"/>
        <v/>
      </c>
      <c r="I44" s="22" t="str">
        <f>IF($A44="","",COUNTIFS(Transactions!$C$2:$C$1000,$B44,Transactions!$B$2:$B$1000,"&gt;="&amp;$A44,Transactions!$B$2:$B$1000,"&lt;"&amp;EDATE($A44,1)))</f>
        <v/>
      </c>
    </row>
    <row r="45" spans="1:9" x14ac:dyDescent="0.25">
      <c r="A45" s="20" t="str">
        <f>IF(Budgets!A45="","",Budgets!A45)</f>
        <v/>
      </c>
      <c r="B45" s="21" t="str">
        <f>IF(Budgets!A45="","",Budgets!B45)</f>
        <v/>
      </c>
      <c r="C45" s="13" t="str">
        <f>IF($A45="","",SUMIFS(Transactions!$F$2:$F$1000,Transactions!$C$2:$C$1000,$B45,Transactions!$B$2:$B$1000,"&gt;="&amp;$A45,Transactions!$B$2:$B$1000,"&lt;"&amp;EDATE($A45,1)))</f>
        <v/>
      </c>
      <c r="D45" s="13" t="str">
        <f>IF($A45="","",Budgets!C45)</f>
        <v/>
      </c>
      <c r="E45" s="13" t="str">
        <f t="shared" si="0"/>
        <v/>
      </c>
      <c r="F45" s="14" t="str">
        <f t="shared" si="1"/>
        <v/>
      </c>
      <c r="G45" s="13" t="str">
        <f>IF($A45="","",SUMIFS(Transactions!$F$2:$F$1000,Transactions!$C$2:$C$1000,$B45,Transactions!$B$2:$B$1000,"&gt;="&amp;EDATE($A45,-1),Transactions!$B$2:$B$1000,"&lt;"&amp;$A45))</f>
        <v/>
      </c>
      <c r="H45" s="13" t="str">
        <f t="shared" si="2"/>
        <v/>
      </c>
      <c r="I45" s="22" t="str">
        <f>IF($A45="","",COUNTIFS(Transactions!$C$2:$C$1000,$B45,Transactions!$B$2:$B$1000,"&gt;="&amp;$A45,Transactions!$B$2:$B$1000,"&lt;"&amp;EDATE($A45,1)))</f>
        <v/>
      </c>
    </row>
    <row r="46" spans="1:9" x14ac:dyDescent="0.25">
      <c r="A46" s="20" t="str">
        <f>IF(Budgets!A46="","",Budgets!A46)</f>
        <v/>
      </c>
      <c r="B46" s="21" t="str">
        <f>IF(Budgets!A46="","",Budgets!B46)</f>
        <v/>
      </c>
      <c r="C46" s="13" t="str">
        <f>IF($A46="","",SUMIFS(Transactions!$F$2:$F$1000,Transactions!$C$2:$C$1000,$B46,Transactions!$B$2:$B$1000,"&gt;="&amp;$A46,Transactions!$B$2:$B$1000,"&lt;"&amp;EDATE($A46,1)))</f>
        <v/>
      </c>
      <c r="D46" s="13" t="str">
        <f>IF($A46="","",Budgets!C46)</f>
        <v/>
      </c>
      <c r="E46" s="13" t="str">
        <f t="shared" si="0"/>
        <v/>
      </c>
      <c r="F46" s="14" t="str">
        <f t="shared" si="1"/>
        <v/>
      </c>
      <c r="G46" s="13" t="str">
        <f>IF($A46="","",SUMIFS(Transactions!$F$2:$F$1000,Transactions!$C$2:$C$1000,$B46,Transactions!$B$2:$B$1000,"&gt;="&amp;EDATE($A46,-1),Transactions!$B$2:$B$1000,"&lt;"&amp;$A46))</f>
        <v/>
      </c>
      <c r="H46" s="13" t="str">
        <f t="shared" si="2"/>
        <v/>
      </c>
      <c r="I46" s="22" t="str">
        <f>IF($A46="","",COUNTIFS(Transactions!$C$2:$C$1000,$B46,Transactions!$B$2:$B$1000,"&gt;="&amp;$A46,Transactions!$B$2:$B$1000,"&lt;"&amp;EDATE($A46,1)))</f>
        <v/>
      </c>
    </row>
    <row r="47" spans="1:9" x14ac:dyDescent="0.25">
      <c r="A47" s="20" t="str">
        <f>IF(Budgets!A47="","",Budgets!A47)</f>
        <v/>
      </c>
      <c r="B47" s="21" t="str">
        <f>IF(Budgets!A47="","",Budgets!B47)</f>
        <v/>
      </c>
      <c r="C47" s="13" t="str">
        <f>IF($A47="","",SUMIFS(Transactions!$F$2:$F$1000,Transactions!$C$2:$C$1000,$B47,Transactions!$B$2:$B$1000,"&gt;="&amp;$A47,Transactions!$B$2:$B$1000,"&lt;"&amp;EDATE($A47,1)))</f>
        <v/>
      </c>
      <c r="D47" s="13" t="str">
        <f>IF($A47="","",Budgets!C47)</f>
        <v/>
      </c>
      <c r="E47" s="13" t="str">
        <f t="shared" si="0"/>
        <v/>
      </c>
      <c r="F47" s="14" t="str">
        <f t="shared" si="1"/>
        <v/>
      </c>
      <c r="G47" s="13" t="str">
        <f>IF($A47="","",SUMIFS(Transactions!$F$2:$F$1000,Transactions!$C$2:$C$1000,$B47,Transactions!$B$2:$B$1000,"&gt;="&amp;EDATE($A47,-1),Transactions!$B$2:$B$1000,"&lt;"&amp;$A47))</f>
        <v/>
      </c>
      <c r="H47" s="13" t="str">
        <f t="shared" si="2"/>
        <v/>
      </c>
      <c r="I47" s="22" t="str">
        <f>IF($A47="","",COUNTIFS(Transactions!$C$2:$C$1000,$B47,Transactions!$B$2:$B$1000,"&gt;="&amp;$A47,Transactions!$B$2:$B$1000,"&lt;"&amp;EDATE($A47,1)))</f>
        <v/>
      </c>
    </row>
    <row r="48" spans="1:9" x14ac:dyDescent="0.25">
      <c r="A48" s="20" t="str">
        <f>IF(Budgets!A48="","",Budgets!A48)</f>
        <v/>
      </c>
      <c r="B48" s="21" t="str">
        <f>IF(Budgets!A48="","",Budgets!B48)</f>
        <v/>
      </c>
      <c r="C48" s="13" t="str">
        <f>IF($A48="","",SUMIFS(Transactions!$F$2:$F$1000,Transactions!$C$2:$C$1000,$B48,Transactions!$B$2:$B$1000,"&gt;="&amp;$A48,Transactions!$B$2:$B$1000,"&lt;"&amp;EDATE($A48,1)))</f>
        <v/>
      </c>
      <c r="D48" s="13" t="str">
        <f>IF($A48="","",Budgets!C48)</f>
        <v/>
      </c>
      <c r="E48" s="13" t="str">
        <f t="shared" si="0"/>
        <v/>
      </c>
      <c r="F48" s="14" t="str">
        <f t="shared" si="1"/>
        <v/>
      </c>
      <c r="G48" s="13" t="str">
        <f>IF($A48="","",SUMIFS(Transactions!$F$2:$F$1000,Transactions!$C$2:$C$1000,$B48,Transactions!$B$2:$B$1000,"&gt;="&amp;EDATE($A48,-1),Transactions!$B$2:$B$1000,"&lt;"&amp;$A48))</f>
        <v/>
      </c>
      <c r="H48" s="13" t="str">
        <f t="shared" si="2"/>
        <v/>
      </c>
      <c r="I48" s="22" t="str">
        <f>IF($A48="","",COUNTIFS(Transactions!$C$2:$C$1000,$B48,Transactions!$B$2:$B$1000,"&gt;="&amp;$A48,Transactions!$B$2:$B$1000,"&lt;"&amp;EDATE($A48,1)))</f>
        <v/>
      </c>
    </row>
    <row r="49" spans="1:9" x14ac:dyDescent="0.25">
      <c r="A49" s="20" t="str">
        <f>IF(Budgets!A49="","",Budgets!A49)</f>
        <v/>
      </c>
      <c r="B49" s="21" t="str">
        <f>IF(Budgets!A49="","",Budgets!B49)</f>
        <v/>
      </c>
      <c r="C49" s="13" t="str">
        <f>IF($A49="","",SUMIFS(Transactions!$F$2:$F$1000,Transactions!$C$2:$C$1000,$B49,Transactions!$B$2:$B$1000,"&gt;="&amp;$A49,Transactions!$B$2:$B$1000,"&lt;"&amp;EDATE($A49,1)))</f>
        <v/>
      </c>
      <c r="D49" s="13" t="str">
        <f>IF($A49="","",Budgets!C49)</f>
        <v/>
      </c>
      <c r="E49" s="13" t="str">
        <f t="shared" si="0"/>
        <v/>
      </c>
      <c r="F49" s="14" t="str">
        <f t="shared" si="1"/>
        <v/>
      </c>
      <c r="G49" s="13" t="str">
        <f>IF($A49="","",SUMIFS(Transactions!$F$2:$F$1000,Transactions!$C$2:$C$1000,$B49,Transactions!$B$2:$B$1000,"&gt;="&amp;EDATE($A49,-1),Transactions!$B$2:$B$1000,"&lt;"&amp;$A49))</f>
        <v/>
      </c>
      <c r="H49" s="13" t="str">
        <f t="shared" si="2"/>
        <v/>
      </c>
      <c r="I49" s="22" t="str">
        <f>IF($A49="","",COUNTIFS(Transactions!$C$2:$C$1000,$B49,Transactions!$B$2:$B$1000,"&gt;="&amp;$A49,Transactions!$B$2:$B$1000,"&lt;"&amp;EDATE($A49,1)))</f>
        <v/>
      </c>
    </row>
  </sheetData>
  <autoFilter ref="A1:I49" xr:uid="{00000000-0009-0000-0000-000001000000}"/>
  <conditionalFormatting sqref="F2:F49">
    <cfRule type="expression" dxfId="0" priority="1">
      <formula>AND(ISNUMBER(F2),F2&gt;1)</formula>
    </cfRule>
  </conditionalFormatting>
  <printOptions horizontalCentered="1"/>
  <pageMargins left="0.5" right="0.5" top="1" bottom="1" header="0.5" footer="0.5"/>
  <pageSetup paperSize="9" fitToHeight="0" orientation="landscape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26" customWidth="1"/>
    <col min="5" max="5" width="30" customWidth="1"/>
    <col min="6" max="6" width="15" customWidth="1"/>
  </cols>
  <sheetData>
    <row r="1" spans="1:6" ht="21.95" customHeight="1" x14ac:dyDescent="0.25">
      <c r="A1" s="10" t="s">
        <v>30</v>
      </c>
      <c r="B1" s="10" t="s">
        <v>31</v>
      </c>
      <c r="C1" s="10" t="s">
        <v>17</v>
      </c>
      <c r="D1" s="10" t="s">
        <v>32</v>
      </c>
      <c r="E1" s="10" t="s">
        <v>33</v>
      </c>
      <c r="F1" s="11" t="s">
        <v>34</v>
      </c>
    </row>
    <row r="2" spans="1:6" x14ac:dyDescent="0.25">
      <c r="A2" s="23" t="s">
        <v>35</v>
      </c>
      <c r="B2" s="24">
        <v>46027</v>
      </c>
      <c r="C2" s="23" t="s">
        <v>36</v>
      </c>
      <c r="D2" s="23" t="s">
        <v>37</v>
      </c>
      <c r="E2" s="23" t="s">
        <v>38</v>
      </c>
      <c r="F2" s="25">
        <v>1200</v>
      </c>
    </row>
    <row r="3" spans="1:6" x14ac:dyDescent="0.25">
      <c r="A3" s="23" t="s">
        <v>39</v>
      </c>
      <c r="B3" s="24">
        <v>46033</v>
      </c>
      <c r="C3" s="23" t="s">
        <v>40</v>
      </c>
      <c r="D3" s="23" t="s">
        <v>41</v>
      </c>
      <c r="E3" s="23" t="s">
        <v>42</v>
      </c>
      <c r="F3" s="25">
        <v>75</v>
      </c>
    </row>
    <row r="4" spans="1:6" x14ac:dyDescent="0.25">
      <c r="A4" s="23" t="s">
        <v>43</v>
      </c>
      <c r="B4" s="24">
        <v>46042</v>
      </c>
      <c r="C4" s="23" t="s">
        <v>40</v>
      </c>
      <c r="D4" s="23" t="s">
        <v>44</v>
      </c>
      <c r="E4" s="23" t="s">
        <v>45</v>
      </c>
      <c r="F4" s="25">
        <v>12.99</v>
      </c>
    </row>
    <row r="5" spans="1:6" x14ac:dyDescent="0.25">
      <c r="A5" s="23" t="s">
        <v>46</v>
      </c>
      <c r="B5" s="24">
        <v>46043</v>
      </c>
      <c r="C5" s="23" t="s">
        <v>47</v>
      </c>
      <c r="D5" s="23" t="s">
        <v>48</v>
      </c>
      <c r="E5" s="23" t="s">
        <v>49</v>
      </c>
      <c r="F5" s="25">
        <v>210.5</v>
      </c>
    </row>
    <row r="6" spans="1:6" x14ac:dyDescent="0.25">
      <c r="A6" s="23" t="s">
        <v>50</v>
      </c>
      <c r="B6" s="24">
        <v>46046</v>
      </c>
      <c r="C6" s="23" t="s">
        <v>36</v>
      </c>
      <c r="D6" s="23" t="s">
        <v>51</v>
      </c>
      <c r="E6" s="23" t="s">
        <v>52</v>
      </c>
      <c r="F6" s="25">
        <v>180.2</v>
      </c>
    </row>
    <row r="7" spans="1:6" x14ac:dyDescent="0.25">
      <c r="A7" s="23" t="s">
        <v>53</v>
      </c>
      <c r="B7" s="24">
        <v>46056</v>
      </c>
      <c r="C7" s="23" t="s">
        <v>54</v>
      </c>
      <c r="D7" s="23" t="s">
        <v>55</v>
      </c>
      <c r="E7" s="23" t="s">
        <v>56</v>
      </c>
      <c r="F7" s="25">
        <v>289</v>
      </c>
    </row>
    <row r="8" spans="1:6" x14ac:dyDescent="0.25">
      <c r="A8" s="23" t="s">
        <v>57</v>
      </c>
      <c r="B8" s="24">
        <v>46058</v>
      </c>
      <c r="C8" s="23" t="s">
        <v>36</v>
      </c>
      <c r="D8" s="23" t="s">
        <v>37</v>
      </c>
      <c r="E8" s="23" t="s">
        <v>38</v>
      </c>
      <c r="F8" s="25">
        <v>1200</v>
      </c>
    </row>
    <row r="9" spans="1:6" x14ac:dyDescent="0.25">
      <c r="A9" s="23" t="s">
        <v>58</v>
      </c>
      <c r="B9" s="24">
        <v>46064</v>
      </c>
      <c r="C9" s="23" t="s">
        <v>40</v>
      </c>
      <c r="D9" s="23" t="s">
        <v>41</v>
      </c>
      <c r="E9" s="23" t="s">
        <v>42</v>
      </c>
      <c r="F9" s="25">
        <v>75</v>
      </c>
    </row>
    <row r="10" spans="1:6" x14ac:dyDescent="0.25">
      <c r="A10" s="23" t="s">
        <v>59</v>
      </c>
      <c r="B10" s="24">
        <v>46067</v>
      </c>
      <c r="C10" s="23" t="s">
        <v>40</v>
      </c>
      <c r="D10" s="23" t="s">
        <v>60</v>
      </c>
      <c r="E10" s="23" t="s">
        <v>61</v>
      </c>
      <c r="F10" s="25">
        <v>54</v>
      </c>
    </row>
    <row r="11" spans="1:6" x14ac:dyDescent="0.25">
      <c r="A11" s="23" t="s">
        <v>62</v>
      </c>
      <c r="B11" s="24">
        <v>46070</v>
      </c>
      <c r="C11" s="23" t="s">
        <v>47</v>
      </c>
      <c r="D11" s="23" t="s">
        <v>48</v>
      </c>
      <c r="E11" s="23" t="s">
        <v>63</v>
      </c>
      <c r="F11" s="25">
        <v>315.25</v>
      </c>
    </row>
    <row r="12" spans="1:6" x14ac:dyDescent="0.25">
      <c r="A12" s="23" t="s">
        <v>64</v>
      </c>
      <c r="B12" s="24">
        <v>46073</v>
      </c>
      <c r="C12" s="23" t="s">
        <v>40</v>
      </c>
      <c r="D12" s="23" t="s">
        <v>44</v>
      </c>
      <c r="E12" s="23" t="s">
        <v>45</v>
      </c>
      <c r="F12" s="25">
        <v>12.99</v>
      </c>
    </row>
    <row r="13" spans="1:6" x14ac:dyDescent="0.25">
      <c r="A13" s="23" t="s">
        <v>65</v>
      </c>
      <c r="B13" s="24">
        <v>46075</v>
      </c>
      <c r="C13" s="23" t="s">
        <v>47</v>
      </c>
      <c r="D13" s="23" t="s">
        <v>48</v>
      </c>
      <c r="E13" s="23" t="s">
        <v>66</v>
      </c>
      <c r="F13" s="25">
        <v>-25</v>
      </c>
    </row>
    <row r="14" spans="1:6" x14ac:dyDescent="0.25">
      <c r="A14" s="23" t="s">
        <v>67</v>
      </c>
      <c r="B14" s="24">
        <v>46077</v>
      </c>
      <c r="C14" s="23" t="s">
        <v>36</v>
      </c>
      <c r="D14" s="23" t="s">
        <v>51</v>
      </c>
      <c r="E14" s="23" t="s">
        <v>52</v>
      </c>
      <c r="F14" s="25">
        <v>196.4</v>
      </c>
    </row>
    <row r="15" spans="1:6" x14ac:dyDescent="0.25">
      <c r="A15" s="23" t="s">
        <v>68</v>
      </c>
      <c r="B15" s="24">
        <v>46086</v>
      </c>
      <c r="C15" s="23" t="s">
        <v>36</v>
      </c>
      <c r="D15" s="23" t="s">
        <v>37</v>
      </c>
      <c r="E15" s="23" t="s">
        <v>38</v>
      </c>
      <c r="F15" s="25">
        <v>1200</v>
      </c>
    </row>
    <row r="16" spans="1:6" x14ac:dyDescent="0.25">
      <c r="A16" s="23" t="s">
        <v>69</v>
      </c>
      <c r="B16" s="24">
        <v>46092</v>
      </c>
      <c r="C16" s="23" t="s">
        <v>40</v>
      </c>
      <c r="D16" s="23" t="s">
        <v>41</v>
      </c>
      <c r="E16" s="23" t="s">
        <v>42</v>
      </c>
      <c r="F16" s="25">
        <v>75</v>
      </c>
    </row>
    <row r="17" spans="1:6" x14ac:dyDescent="0.25">
      <c r="A17" s="23" t="s">
        <v>70</v>
      </c>
      <c r="B17" s="24">
        <v>46093</v>
      </c>
      <c r="C17" s="23" t="s">
        <v>54</v>
      </c>
      <c r="D17" s="23" t="s">
        <v>55</v>
      </c>
      <c r="E17" s="23" t="s">
        <v>71</v>
      </c>
      <c r="F17" s="25">
        <v>46.5</v>
      </c>
    </row>
    <row r="18" spans="1:6" x14ac:dyDescent="0.25">
      <c r="A18" s="23" t="s">
        <v>72</v>
      </c>
      <c r="B18" s="24">
        <v>46095</v>
      </c>
      <c r="C18" s="23" t="s">
        <v>40</v>
      </c>
      <c r="D18" s="23" t="s">
        <v>60</v>
      </c>
      <c r="E18" s="23" t="s">
        <v>61</v>
      </c>
      <c r="F18" s="25">
        <v>54</v>
      </c>
    </row>
    <row r="19" spans="1:6" x14ac:dyDescent="0.25">
      <c r="A19" s="23" t="s">
        <v>73</v>
      </c>
      <c r="B19" s="24">
        <v>46099</v>
      </c>
      <c r="C19" s="23" t="s">
        <v>47</v>
      </c>
      <c r="D19" s="23" t="s">
        <v>74</v>
      </c>
      <c r="E19" s="23" t="s">
        <v>75</v>
      </c>
      <c r="F19" s="25">
        <v>112.75</v>
      </c>
    </row>
    <row r="20" spans="1:6" x14ac:dyDescent="0.25">
      <c r="A20" s="23" t="s">
        <v>76</v>
      </c>
      <c r="B20" s="24">
        <v>46101</v>
      </c>
      <c r="C20" s="23" t="s">
        <v>40</v>
      </c>
      <c r="D20" s="23" t="s">
        <v>44</v>
      </c>
      <c r="E20" s="23" t="s">
        <v>45</v>
      </c>
      <c r="F20" s="25">
        <v>12.99</v>
      </c>
    </row>
    <row r="21" spans="1:6" x14ac:dyDescent="0.25">
      <c r="A21" s="23" t="s">
        <v>77</v>
      </c>
      <c r="B21" s="24">
        <v>46105</v>
      </c>
      <c r="C21" s="23" t="s">
        <v>36</v>
      </c>
      <c r="D21" s="23" t="s">
        <v>51</v>
      </c>
      <c r="E21" s="23" t="s">
        <v>52</v>
      </c>
      <c r="F21" s="25">
        <v>205</v>
      </c>
    </row>
    <row r="22" spans="1:6" x14ac:dyDescent="0.25">
      <c r="A22" s="23" t="s">
        <v>78</v>
      </c>
      <c r="B22" s="24">
        <v>46117</v>
      </c>
      <c r="C22" s="23" t="s">
        <v>36</v>
      </c>
      <c r="D22" s="23" t="s">
        <v>37</v>
      </c>
      <c r="E22" s="23" t="s">
        <v>38</v>
      </c>
      <c r="F22" s="25">
        <v>1200</v>
      </c>
    </row>
    <row r="23" spans="1:6" x14ac:dyDescent="0.25">
      <c r="A23" s="23" t="s">
        <v>79</v>
      </c>
      <c r="B23" s="24">
        <v>46121</v>
      </c>
      <c r="C23" s="23" t="s">
        <v>47</v>
      </c>
      <c r="D23" s="23" t="s">
        <v>48</v>
      </c>
      <c r="E23" s="23" t="s">
        <v>80</v>
      </c>
      <c r="F23" s="25">
        <v>286.39999999999998</v>
      </c>
    </row>
    <row r="24" spans="1:6" x14ac:dyDescent="0.25">
      <c r="A24" s="23" t="s">
        <v>81</v>
      </c>
      <c r="B24" s="24">
        <v>46123</v>
      </c>
      <c r="C24" s="23" t="s">
        <v>40</v>
      </c>
      <c r="D24" s="23" t="s">
        <v>41</v>
      </c>
      <c r="E24" s="23" t="s">
        <v>42</v>
      </c>
      <c r="F24" s="25">
        <v>75</v>
      </c>
    </row>
    <row r="25" spans="1:6" x14ac:dyDescent="0.25">
      <c r="A25" s="23" t="s">
        <v>82</v>
      </c>
      <c r="B25" s="24">
        <v>46126</v>
      </c>
      <c r="C25" s="23" t="s">
        <v>40</v>
      </c>
      <c r="D25" s="23" t="s">
        <v>60</v>
      </c>
      <c r="E25" s="23" t="s">
        <v>61</v>
      </c>
      <c r="F25" s="25">
        <v>54</v>
      </c>
    </row>
    <row r="26" spans="1:6" x14ac:dyDescent="0.25">
      <c r="A26" s="23" t="s">
        <v>83</v>
      </c>
      <c r="B26" s="24">
        <v>46132</v>
      </c>
      <c r="C26" s="23" t="s">
        <v>40</v>
      </c>
      <c r="D26" s="23" t="s">
        <v>44</v>
      </c>
      <c r="E26" s="23" t="s">
        <v>45</v>
      </c>
      <c r="F26" s="25">
        <v>12.99</v>
      </c>
    </row>
    <row r="27" spans="1:6" x14ac:dyDescent="0.25">
      <c r="A27" s="23" t="s">
        <v>84</v>
      </c>
      <c r="B27" s="24">
        <v>46136</v>
      </c>
      <c r="C27" s="23" t="s">
        <v>36</v>
      </c>
      <c r="D27" s="23" t="s">
        <v>51</v>
      </c>
      <c r="E27" s="23" t="s">
        <v>52</v>
      </c>
      <c r="F27" s="25">
        <v>171.35</v>
      </c>
    </row>
    <row r="28" spans="1:6" x14ac:dyDescent="0.25">
      <c r="A28" s="23" t="s">
        <v>85</v>
      </c>
      <c r="B28" s="24">
        <v>46147</v>
      </c>
      <c r="C28" s="23" t="s">
        <v>36</v>
      </c>
      <c r="D28" s="23" t="s">
        <v>37</v>
      </c>
      <c r="E28" s="23" t="s">
        <v>38</v>
      </c>
      <c r="F28" s="25">
        <v>1200</v>
      </c>
    </row>
    <row r="29" spans="1:6" x14ac:dyDescent="0.25">
      <c r="A29" s="23" t="s">
        <v>86</v>
      </c>
      <c r="B29" s="24">
        <v>46148</v>
      </c>
      <c r="C29" s="23" t="s">
        <v>47</v>
      </c>
      <c r="D29" s="23" t="s">
        <v>48</v>
      </c>
      <c r="E29" s="23" t="s">
        <v>49</v>
      </c>
      <c r="F29" s="25">
        <v>148.6</v>
      </c>
    </row>
    <row r="30" spans="1:6" x14ac:dyDescent="0.25">
      <c r="A30" s="23" t="s">
        <v>87</v>
      </c>
      <c r="B30" s="24">
        <v>46148</v>
      </c>
      <c r="C30" s="23" t="s">
        <v>47</v>
      </c>
      <c r="D30" s="23" t="s">
        <v>74</v>
      </c>
      <c r="E30" s="23" t="s">
        <v>88</v>
      </c>
      <c r="F30" s="25">
        <v>64.2</v>
      </c>
    </row>
    <row r="31" spans="1:6" x14ac:dyDescent="0.25">
      <c r="A31" s="23" t="s">
        <v>89</v>
      </c>
      <c r="B31" s="24">
        <v>46153</v>
      </c>
      <c r="C31" s="23" t="s">
        <v>40</v>
      </c>
      <c r="D31" s="23" t="s">
        <v>41</v>
      </c>
      <c r="E31" s="23" t="s">
        <v>42</v>
      </c>
      <c r="F31" s="25">
        <v>75</v>
      </c>
    </row>
    <row r="32" spans="1:6" x14ac:dyDescent="0.25">
      <c r="A32" s="23" t="s">
        <v>90</v>
      </c>
      <c r="B32" s="24">
        <v>46156</v>
      </c>
      <c r="C32" s="23" t="s">
        <v>40</v>
      </c>
      <c r="D32" s="23" t="s">
        <v>60</v>
      </c>
      <c r="E32" s="23" t="s">
        <v>61</v>
      </c>
      <c r="F32" s="25">
        <v>54</v>
      </c>
    </row>
    <row r="33" spans="1:6" x14ac:dyDescent="0.25">
      <c r="A33" s="23" t="s">
        <v>91</v>
      </c>
      <c r="B33" s="24">
        <v>46161</v>
      </c>
      <c r="C33" s="23" t="s">
        <v>54</v>
      </c>
      <c r="D33" s="23" t="s">
        <v>55</v>
      </c>
      <c r="E33" s="23" t="s">
        <v>92</v>
      </c>
      <c r="F33" s="25">
        <v>72</v>
      </c>
    </row>
    <row r="34" spans="1:6" x14ac:dyDescent="0.25">
      <c r="A34" s="23" t="s">
        <v>93</v>
      </c>
      <c r="B34" s="24">
        <v>46161</v>
      </c>
      <c r="C34" s="23" t="s">
        <v>54</v>
      </c>
      <c r="D34" s="23" t="s">
        <v>55</v>
      </c>
      <c r="E34" s="23" t="s">
        <v>94</v>
      </c>
      <c r="F34" s="25">
        <v>118</v>
      </c>
    </row>
    <row r="35" spans="1:6" x14ac:dyDescent="0.25">
      <c r="A35" s="23" t="s">
        <v>95</v>
      </c>
      <c r="B35" s="24">
        <v>46162</v>
      </c>
      <c r="C35" s="23" t="s">
        <v>40</v>
      </c>
      <c r="D35" s="23" t="s">
        <v>44</v>
      </c>
      <c r="E35" s="23" t="s">
        <v>45</v>
      </c>
      <c r="F35" s="25">
        <v>12.99</v>
      </c>
    </row>
    <row r="36" spans="1:6" x14ac:dyDescent="0.25">
      <c r="A36" s="23" t="s">
        <v>96</v>
      </c>
      <c r="B36" s="24">
        <v>46166</v>
      </c>
      <c r="C36" s="23" t="s">
        <v>36</v>
      </c>
      <c r="D36" s="23" t="s">
        <v>51</v>
      </c>
      <c r="E36" s="23" t="s">
        <v>52</v>
      </c>
      <c r="F36" s="25">
        <v>158.9</v>
      </c>
    </row>
    <row r="37" spans="1:6" x14ac:dyDescent="0.25">
      <c r="A37" s="23" t="s">
        <v>97</v>
      </c>
      <c r="B37" s="24">
        <v>46175</v>
      </c>
      <c r="C37" s="23" t="s">
        <v>54</v>
      </c>
      <c r="D37" s="23" t="s">
        <v>55</v>
      </c>
      <c r="E37" s="23" t="s">
        <v>98</v>
      </c>
      <c r="F37" s="25">
        <v>-118</v>
      </c>
    </row>
    <row r="38" spans="1:6" x14ac:dyDescent="0.25">
      <c r="A38" s="23" t="s">
        <v>99</v>
      </c>
      <c r="B38" s="24">
        <v>46178</v>
      </c>
      <c r="C38" s="23" t="s">
        <v>36</v>
      </c>
      <c r="D38" s="23" t="s">
        <v>37</v>
      </c>
      <c r="E38" s="23" t="s">
        <v>38</v>
      </c>
      <c r="F38" s="25">
        <v>1200</v>
      </c>
    </row>
    <row r="39" spans="1:6" x14ac:dyDescent="0.25">
      <c r="A39" s="23" t="s">
        <v>100</v>
      </c>
      <c r="B39" s="24">
        <v>46184</v>
      </c>
      <c r="C39" s="23" t="s">
        <v>40</v>
      </c>
      <c r="D39" s="23" t="s">
        <v>41</v>
      </c>
      <c r="E39" s="23" t="s">
        <v>42</v>
      </c>
      <c r="F39" s="25">
        <v>75</v>
      </c>
    </row>
    <row r="40" spans="1:6" x14ac:dyDescent="0.25">
      <c r="A40" s="23" t="s">
        <v>101</v>
      </c>
      <c r="B40" s="24">
        <v>46187</v>
      </c>
      <c r="C40" s="23" t="s">
        <v>40</v>
      </c>
      <c r="D40" s="23" t="s">
        <v>60</v>
      </c>
      <c r="E40" s="23" t="s">
        <v>61</v>
      </c>
      <c r="F40" s="25">
        <v>54</v>
      </c>
    </row>
    <row r="41" spans="1:6" x14ac:dyDescent="0.25">
      <c r="A41" s="23" t="s">
        <v>102</v>
      </c>
      <c r="B41" s="24">
        <v>46189</v>
      </c>
      <c r="C41" s="23" t="s">
        <v>47</v>
      </c>
      <c r="D41" s="23" t="s">
        <v>103</v>
      </c>
      <c r="E41" s="23" t="s">
        <v>104</v>
      </c>
      <c r="F41" s="25">
        <v>402.1</v>
      </c>
    </row>
    <row r="42" spans="1:6" x14ac:dyDescent="0.25">
      <c r="A42" s="23" t="s">
        <v>105</v>
      </c>
      <c r="B42" s="24">
        <v>46193</v>
      </c>
      <c r="C42" s="23" t="s">
        <v>40</v>
      </c>
      <c r="D42" s="23" t="s">
        <v>44</v>
      </c>
      <c r="E42" s="23" t="s">
        <v>45</v>
      </c>
      <c r="F42" s="25">
        <v>12.99</v>
      </c>
    </row>
    <row r="43" spans="1:6" x14ac:dyDescent="0.25">
      <c r="A43" s="23" t="s">
        <v>106</v>
      </c>
      <c r="B43" s="24">
        <v>46197</v>
      </c>
      <c r="C43" s="23" t="s">
        <v>36</v>
      </c>
      <c r="D43" s="23" t="s">
        <v>51</v>
      </c>
      <c r="E43" s="23" t="s">
        <v>52</v>
      </c>
      <c r="F43" s="25">
        <v>162.75</v>
      </c>
    </row>
  </sheetData>
  <printOptions horizontalCentered="1"/>
  <pageMargins left="0.5" right="0.5" top="1" bottom="1" header="0.5" footer="0.5"/>
  <pageSetup paperSize="9" fitToHeight="0" orientation="landscape"/>
  <headerFooter>
    <oddFooter>&amp;L&amp;A&amp;RPage &amp;P of &amp;N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known category" error="Pick a category from the list on the Lists sheet." xr:uid="{00000000-0002-0000-0200-000000000000}">
          <x14:formula1>
            <xm:f>Lists!$A$2:$A$20</xm:f>
          </x14:formula1>
          <xm:sqref>C2:C1000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5" customWidth="1"/>
  </cols>
  <sheetData>
    <row r="1" spans="1:3" ht="21.95" customHeight="1" x14ac:dyDescent="0.25">
      <c r="A1" s="10" t="s">
        <v>11</v>
      </c>
      <c r="B1" s="10" t="s">
        <v>17</v>
      </c>
      <c r="C1" s="11" t="s">
        <v>13</v>
      </c>
    </row>
    <row r="2" spans="1:3" x14ac:dyDescent="0.25">
      <c r="A2" s="26">
        <v>46023</v>
      </c>
      <c r="B2" s="23" t="s">
        <v>36</v>
      </c>
      <c r="C2" s="25">
        <v>1500</v>
      </c>
    </row>
    <row r="3" spans="1:3" x14ac:dyDescent="0.25">
      <c r="A3" s="26">
        <v>46023</v>
      </c>
      <c r="B3" s="23" t="s">
        <v>40</v>
      </c>
      <c r="C3" s="25">
        <v>150</v>
      </c>
    </row>
    <row r="4" spans="1:3" x14ac:dyDescent="0.25">
      <c r="A4" s="26">
        <v>46023</v>
      </c>
      <c r="B4" s="23" t="s">
        <v>47</v>
      </c>
      <c r="C4" s="25">
        <v>300</v>
      </c>
    </row>
    <row r="5" spans="1:3" x14ac:dyDescent="0.25">
      <c r="A5" s="26">
        <v>46023</v>
      </c>
      <c r="B5" s="23" t="s">
        <v>54</v>
      </c>
      <c r="C5" s="25">
        <v>150</v>
      </c>
    </row>
    <row r="6" spans="1:3" x14ac:dyDescent="0.25">
      <c r="A6" s="26">
        <v>46054</v>
      </c>
      <c r="B6" s="23" t="s">
        <v>36</v>
      </c>
      <c r="C6" s="25">
        <v>1500</v>
      </c>
    </row>
    <row r="7" spans="1:3" x14ac:dyDescent="0.25">
      <c r="A7" s="26">
        <v>46054</v>
      </c>
      <c r="B7" s="23" t="s">
        <v>40</v>
      </c>
      <c r="C7" s="25">
        <v>150</v>
      </c>
    </row>
    <row r="8" spans="1:3" x14ac:dyDescent="0.25">
      <c r="A8" s="26">
        <v>46054</v>
      </c>
      <c r="B8" s="23" t="s">
        <v>47</v>
      </c>
      <c r="C8" s="25">
        <v>300</v>
      </c>
    </row>
    <row r="9" spans="1:3" x14ac:dyDescent="0.25">
      <c r="A9" s="26">
        <v>46054</v>
      </c>
      <c r="B9" s="23" t="s">
        <v>54</v>
      </c>
      <c r="C9" s="25">
        <v>150</v>
      </c>
    </row>
    <row r="10" spans="1:3" x14ac:dyDescent="0.25">
      <c r="A10" s="26">
        <v>46082</v>
      </c>
      <c r="B10" s="23" t="s">
        <v>36</v>
      </c>
      <c r="C10" s="25">
        <v>1500</v>
      </c>
    </row>
    <row r="11" spans="1:3" x14ac:dyDescent="0.25">
      <c r="A11" s="26">
        <v>46082</v>
      </c>
      <c r="B11" s="23" t="s">
        <v>40</v>
      </c>
      <c r="C11" s="25">
        <v>150</v>
      </c>
    </row>
    <row r="12" spans="1:3" x14ac:dyDescent="0.25">
      <c r="A12" s="26">
        <v>46082</v>
      </c>
      <c r="B12" s="23" t="s">
        <v>47</v>
      </c>
      <c r="C12" s="25">
        <v>300</v>
      </c>
    </row>
    <row r="13" spans="1:3" x14ac:dyDescent="0.25">
      <c r="A13" s="26">
        <v>46082</v>
      </c>
      <c r="B13" s="23" t="s">
        <v>54</v>
      </c>
      <c r="C13" s="25">
        <v>150</v>
      </c>
    </row>
    <row r="14" spans="1:3" x14ac:dyDescent="0.25">
      <c r="A14" s="26">
        <v>46113</v>
      </c>
      <c r="B14" s="23" t="s">
        <v>36</v>
      </c>
      <c r="C14" s="25">
        <v>1500</v>
      </c>
    </row>
    <row r="15" spans="1:3" x14ac:dyDescent="0.25">
      <c r="A15" s="26">
        <v>46113</v>
      </c>
      <c r="B15" s="23" t="s">
        <v>40</v>
      </c>
      <c r="C15" s="25">
        <v>150</v>
      </c>
    </row>
    <row r="16" spans="1:3" x14ac:dyDescent="0.25">
      <c r="A16" s="26">
        <v>46113</v>
      </c>
      <c r="B16" s="23" t="s">
        <v>47</v>
      </c>
      <c r="C16" s="25">
        <v>300</v>
      </c>
    </row>
    <row r="17" spans="1:3" x14ac:dyDescent="0.25">
      <c r="A17" s="26">
        <v>46113</v>
      </c>
      <c r="B17" s="23" t="s">
        <v>54</v>
      </c>
      <c r="C17" s="25">
        <v>150</v>
      </c>
    </row>
    <row r="18" spans="1:3" x14ac:dyDescent="0.25">
      <c r="A18" s="26">
        <v>46143</v>
      </c>
      <c r="B18" s="23" t="s">
        <v>36</v>
      </c>
      <c r="C18" s="25">
        <v>1500</v>
      </c>
    </row>
    <row r="19" spans="1:3" x14ac:dyDescent="0.25">
      <c r="A19" s="26">
        <v>46143</v>
      </c>
      <c r="B19" s="23" t="s">
        <v>40</v>
      </c>
      <c r="C19" s="25">
        <v>150</v>
      </c>
    </row>
    <row r="20" spans="1:3" x14ac:dyDescent="0.25">
      <c r="A20" s="26">
        <v>46143</v>
      </c>
      <c r="B20" s="23" t="s">
        <v>47</v>
      </c>
      <c r="C20" s="25">
        <v>300</v>
      </c>
    </row>
    <row r="21" spans="1:3" x14ac:dyDescent="0.25">
      <c r="A21" s="26">
        <v>46143</v>
      </c>
      <c r="B21" s="23" t="s">
        <v>54</v>
      </c>
      <c r="C21" s="25">
        <v>150</v>
      </c>
    </row>
    <row r="22" spans="1:3" x14ac:dyDescent="0.25">
      <c r="A22" s="26">
        <v>46174</v>
      </c>
      <c r="B22" s="23" t="s">
        <v>36</v>
      </c>
      <c r="C22" s="25">
        <v>1500</v>
      </c>
    </row>
    <row r="23" spans="1:3" x14ac:dyDescent="0.25">
      <c r="A23" s="26">
        <v>46174</v>
      </c>
      <c r="B23" s="23" t="s">
        <v>40</v>
      </c>
      <c r="C23" s="25">
        <v>150</v>
      </c>
    </row>
    <row r="24" spans="1:3" x14ac:dyDescent="0.25">
      <c r="A24" s="26">
        <v>46174</v>
      </c>
      <c r="B24" s="23" t="s">
        <v>47</v>
      </c>
      <c r="C24" s="25">
        <v>300</v>
      </c>
    </row>
    <row r="25" spans="1:3" x14ac:dyDescent="0.25">
      <c r="A25" s="26">
        <v>46174</v>
      </c>
      <c r="B25" s="23" t="s">
        <v>54</v>
      </c>
      <c r="C25" s="25">
        <v>150</v>
      </c>
    </row>
  </sheetData>
  <printOptions horizontalCentered="1"/>
  <pageMargins left="0.5" right="0.5" top="1" bottom="1" header="0.5" footer="0.5"/>
  <pageSetup paperSize="9" fitToHeight="0" orientation="portrait"/>
  <headerFooter>
    <oddFooter>&amp;L&amp;A&amp;RPage &amp;P of &amp;N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Lists!$A$2:$A$20</xm:f>
          </x14:formula1>
          <xm:sqref>B2:B1000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5" x14ac:dyDescent="0.25"/>
  <cols>
    <col min="1" max="1" width="18" customWidth="1"/>
  </cols>
  <sheetData>
    <row r="1" spans="1:3" x14ac:dyDescent="0.25">
      <c r="A1" s="27" t="s">
        <v>17</v>
      </c>
      <c r="C1" s="2" t="s">
        <v>107</v>
      </c>
    </row>
    <row r="2" spans="1:3" x14ac:dyDescent="0.25">
      <c r="A2" s="23" t="s">
        <v>36</v>
      </c>
    </row>
    <row r="3" spans="1:3" x14ac:dyDescent="0.25">
      <c r="A3" s="23" t="s">
        <v>40</v>
      </c>
    </row>
    <row r="4" spans="1:3" x14ac:dyDescent="0.25">
      <c r="A4" s="23" t="s">
        <v>47</v>
      </c>
    </row>
    <row r="5" spans="1:3" x14ac:dyDescent="0.25">
      <c r="A5" s="2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Summary</vt:lpstr>
      <vt:lpstr>Monthly</vt:lpstr>
      <vt:lpstr>Transactions</vt:lpstr>
      <vt:lpstr>Budgets</vt:lpstr>
      <vt:lpstr>Lists</vt:lpstr>
      <vt:lpstr>Budgets!Print_Titles</vt:lpstr>
      <vt:lpstr>Monthly!Print_Titles</vt:lpstr>
      <vt:lpstr>Transactions!Print_Titles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Linden Studio operating expenses</dc:title>
  <dc:creator>SanderSax</dc:creator>
  <cp:lastModifiedBy>Alexandr Khrustalev</cp:lastModifiedBy>
  <dcterms:created xsi:type="dcterms:W3CDTF">2026-10-18T22:59:58Z</dcterms:created>
  <dcterms:modified xsi:type="dcterms:W3CDTF">2026-10-18T23:00:00Z</dcterms:modified>
</cp:coreProperties>
</file>